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New DA\"/>
    </mc:Choice>
  </mc:AlternateContent>
  <xr:revisionPtr revIDLastSave="0" documentId="13_ncr:1_{7AE3A256-7125-4972-8B82-9F4E715C25F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put parameters" sheetId="2" r:id="rId1"/>
    <sheet name="LBSPR (5%)" sheetId="6" r:id="rId2"/>
    <sheet name="LBB (5%)" sheetId="3" r:id="rId3"/>
    <sheet name="LBSPR (5%Pre)" sheetId="5" r:id="rId4"/>
    <sheet name="LBSPR 10%" sheetId="1" r:id="rId5"/>
    <sheet name="LBSPR (10%Pre)" sheetId="4" r:id="rId6"/>
    <sheet name="LBB (5%) (2)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5" l="1"/>
  <c r="L15" i="5"/>
  <c r="K18" i="7"/>
  <c r="J18" i="7"/>
  <c r="K17" i="7"/>
  <c r="J17" i="7"/>
  <c r="K16" i="7"/>
  <c r="J16" i="7"/>
  <c r="K15" i="7"/>
  <c r="J15" i="7"/>
  <c r="I6" i="2"/>
  <c r="H6" i="2"/>
  <c r="I5" i="2"/>
  <c r="H5" i="2"/>
  <c r="H4" i="2"/>
  <c r="G4" i="2"/>
  <c r="I4" i="2" s="1"/>
  <c r="I3" i="2"/>
  <c r="H3" i="2"/>
  <c r="I2" i="2"/>
  <c r="H2" i="2"/>
  <c r="J17" i="5"/>
  <c r="J16" i="5"/>
  <c r="J19" i="5"/>
  <c r="I17" i="5"/>
  <c r="I16" i="5"/>
  <c r="I19" i="5"/>
  <c r="J15" i="5"/>
  <c r="H18" i="5"/>
  <c r="I18" i="5" s="1"/>
  <c r="J19" i="4"/>
  <c r="I19" i="4"/>
  <c r="J18" i="4"/>
  <c r="I18" i="4"/>
  <c r="H17" i="4"/>
  <c r="J17" i="4" s="1"/>
  <c r="J16" i="4"/>
  <c r="I16" i="4"/>
  <c r="J15" i="4"/>
  <c r="I15" i="4"/>
  <c r="D6" i="2"/>
  <c r="C6" i="2"/>
  <c r="D5" i="2"/>
  <c r="C5" i="2"/>
  <c r="B4" i="2"/>
  <c r="D4" i="2" s="1"/>
  <c r="D3" i="2"/>
  <c r="C3" i="2"/>
  <c r="D2" i="2"/>
  <c r="C2" i="2"/>
  <c r="J18" i="5" l="1"/>
  <c r="I17" i="4"/>
  <c r="C4" i="2"/>
</calcChain>
</file>

<file path=xl/sharedStrings.xml><?xml version="1.0" encoding="utf-8"?>
<sst xmlns="http://schemas.openxmlformats.org/spreadsheetml/2006/main" count="638" uniqueCount="75">
  <si>
    <t>Parameters</t>
  </si>
  <si>
    <t>Mean</t>
  </si>
  <si>
    <t>LCI</t>
  </si>
  <si>
    <t>UCI</t>
  </si>
  <si>
    <t>BM</t>
  </si>
  <si>
    <t>SPR</t>
  </si>
  <si>
    <t>SL50</t>
  </si>
  <si>
    <t>SL90</t>
  </si>
  <si>
    <t>FM</t>
  </si>
  <si>
    <t>Input</t>
  </si>
  <si>
    <t>BaseM</t>
  </si>
  <si>
    <t>P_10</t>
  </si>
  <si>
    <t>M_10</t>
  </si>
  <si>
    <t>Linf</t>
  </si>
  <si>
    <t>L50_Lmat</t>
  </si>
  <si>
    <t>L95_Lmat11</t>
  </si>
  <si>
    <t>MK</t>
  </si>
  <si>
    <t>Lc50</t>
  </si>
  <si>
    <t>0.05 (0.04 - 0.06)</t>
  </si>
  <si>
    <t>6.21 (5.99 - 6.43)</t>
  </si>
  <si>
    <t>8.16 (7.76 - 8.56)</t>
  </si>
  <si>
    <t>2.01 (1.77 - 2.25)</t>
  </si>
  <si>
    <t>SL95</t>
  </si>
  <si>
    <t>F/M</t>
  </si>
  <si>
    <t>Par</t>
  </si>
  <si>
    <t>0.14 (0.11 - 0.18)</t>
  </si>
  <si>
    <t>6.01 (5.8 - 6.22)</t>
  </si>
  <si>
    <t>7.79 (7.41 - 8.17)</t>
  </si>
  <si>
    <t>0.95 (0.8 - 1.1)</t>
  </si>
  <si>
    <t>Linf_P10</t>
  </si>
  <si>
    <t>Linf_M10</t>
  </si>
  <si>
    <t>MK_P10</t>
  </si>
  <si>
    <t>MK_M10</t>
  </si>
  <si>
    <t>0.1 (0.07 - 0.12)</t>
  </si>
  <si>
    <t>6.14 (5.92 - 6.36)</t>
  </si>
  <si>
    <t>8.01 (7.62 - 8.4)</t>
  </si>
  <si>
    <t>1.26 (1.08 - 1.44)</t>
  </si>
  <si>
    <t>0.06 (0.05 - 0.08)</t>
  </si>
  <si>
    <t>6.11 (5.89 - 6.33)</t>
  </si>
  <si>
    <t>8 (7.6 - 8.4)</t>
  </si>
  <si>
    <t>1.75 (1.53 - 1.97)</t>
  </si>
  <si>
    <t>L50_P10</t>
  </si>
  <si>
    <t>L50_M10</t>
  </si>
  <si>
    <t>0.09 (0.07 - 0.11)</t>
  </si>
  <si>
    <t>6.12 (5.9 - 6.34)</t>
  </si>
  <si>
    <t>8 (7.61 - 8.39)</t>
  </si>
  <si>
    <t>1.48 (1.28 - 1.68)</t>
  </si>
  <si>
    <t>L95_P10</t>
  </si>
  <si>
    <t>L95_M10</t>
  </si>
  <si>
    <t>9% less thanL95 =  11.87</t>
  </si>
  <si>
    <t>As L50_P10 is equal to basemodel L95, L50_P10 is considered plus 9% of L50 = 12.95</t>
  </si>
  <si>
    <t>0.1 (0.08 - 0.12)</t>
  </si>
  <si>
    <t>0.06 (0.04 - 0.08)</t>
  </si>
  <si>
    <t>0.08 (0.06 - 0.1)</t>
  </si>
  <si>
    <t>Code</t>
  </si>
  <si>
    <t>6.17 (5.95 - 6.39)</t>
  </si>
  <si>
    <t>8.09 (7.69 - 8.49)</t>
  </si>
  <si>
    <t>1.74 (1.52 - 1.96)</t>
  </si>
  <si>
    <t>0.1 (0.08 - 0.13)</t>
  </si>
  <si>
    <t>6.07 (5.86 - 6.28)</t>
  </si>
  <si>
    <t>7.9 (7.51 - 8.29)</t>
  </si>
  <si>
    <t>1.21 (1.04 - 1.38)</t>
  </si>
  <si>
    <t>6.13 (5.91 - 6.35)</t>
  </si>
  <si>
    <t>1.36 (1.17 - 1.55)</t>
  </si>
  <si>
    <t>0.07 (0.05 - 0.09)</t>
  </si>
  <si>
    <t>1.61 (1.4 - 1.82)</t>
  </si>
  <si>
    <t>P_5</t>
  </si>
  <si>
    <t>M_5</t>
  </si>
  <si>
    <t>YR</t>
  </si>
  <si>
    <t>BBmsy</t>
  </si>
  <si>
    <t>Lc50_P10</t>
  </si>
  <si>
    <t>Lc50_M10</t>
  </si>
  <si>
    <t>BB0</t>
  </si>
  <si>
    <t>L50</t>
  </si>
  <si>
    <t>L95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</si>
</sst>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333333"/>
      <name val="Arial"/>
      <family val="2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0BED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18">
    <xf numFmtId="0" fontId="0" fillId="0" borderId="0" xfId="0"/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6" fillId="0" borderId="0" xfId="0" applyFont="1"/>
    <xf numFmtId="2" fontId="7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0" fillId="3" borderId="1" xfId="0" applyFont="1" applyFill="1" applyBorder="1" applyAlignment="1">
      <alignment vertical="center" wrapText="1"/>
    </xf>
    <xf numFmtId="2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86B1-2ED1-4096-B546-41EB60B11798}">
  <dimension ref="A1:I6"/>
  <sheetViews>
    <sheetView workbookViewId="0">
      <selection activeCell="F10" sqref="F10"/>
    </sheetView>
  </sheetViews>
  <sheetFormatPr defaultRowHeight="14.4" x14ac:dyDescent="0.3"/>
  <sheetData>
    <row r="1" spans="1:9" x14ac:dyDescent="0.3">
      <c r="A1" t="s">
        <v>0</v>
      </c>
      <c r="B1" t="s">
        <v>10</v>
      </c>
      <c r="C1" t="s">
        <v>11</v>
      </c>
      <c r="D1" t="s">
        <v>12</v>
      </c>
      <c r="F1" s="14" t="s">
        <v>24</v>
      </c>
      <c r="G1" s="15" t="s">
        <v>10</v>
      </c>
      <c r="H1" s="15" t="s">
        <v>66</v>
      </c>
      <c r="I1" s="15" t="s">
        <v>67</v>
      </c>
    </row>
    <row r="2" spans="1:9" x14ac:dyDescent="0.3">
      <c r="A2" t="s">
        <v>13</v>
      </c>
      <c r="B2" s="1">
        <v>18.8</v>
      </c>
      <c r="C2" s="1">
        <f>B2+(B2*10%)</f>
        <v>20.68</v>
      </c>
      <c r="D2" s="1">
        <f>B2-(B2*10%)</f>
        <v>16.920000000000002</v>
      </c>
      <c r="F2" s="14" t="s">
        <v>13</v>
      </c>
      <c r="G2" s="7">
        <v>18.8</v>
      </c>
      <c r="H2" s="15">
        <f>G2+(G2*5%)</f>
        <v>19.740000000000002</v>
      </c>
      <c r="I2" s="7">
        <f>G2-(G2*5%)</f>
        <v>17.86</v>
      </c>
    </row>
    <row r="3" spans="1:9" x14ac:dyDescent="0.3">
      <c r="A3" t="s">
        <v>14</v>
      </c>
      <c r="B3" s="1">
        <v>11.853607778243843</v>
      </c>
      <c r="C3" s="1">
        <f t="shared" ref="C3:C4" si="0">B3+(B3*10%)</f>
        <v>13.038968556068227</v>
      </c>
      <c r="D3" s="1">
        <f>B3-(B3*10%)</f>
        <v>10.668247000419459</v>
      </c>
      <c r="F3" s="14" t="s">
        <v>14</v>
      </c>
      <c r="G3" s="7">
        <v>11.853607778243843</v>
      </c>
      <c r="H3" s="7">
        <f t="shared" ref="H3:H6" si="1">G3+(G3*5%)</f>
        <v>12.446288167156036</v>
      </c>
      <c r="I3" s="7">
        <f t="shared" ref="I3:I6" si="2">G3-(G3*5%)</f>
        <v>11.26092738933165</v>
      </c>
    </row>
    <row r="4" spans="1:9" x14ac:dyDescent="0.3">
      <c r="A4" t="s">
        <v>15</v>
      </c>
      <c r="B4" s="1">
        <f>B3*1.1</f>
        <v>13.038968556068228</v>
      </c>
      <c r="C4" s="1">
        <f t="shared" si="0"/>
        <v>14.342865411675051</v>
      </c>
      <c r="D4" s="1">
        <f t="shared" ref="D4:D6" si="3">B4-(B4*10%)</f>
        <v>11.735071700461406</v>
      </c>
      <c r="F4" s="14" t="s">
        <v>15</v>
      </c>
      <c r="G4" s="7">
        <f>G3*1.1</f>
        <v>13.038968556068228</v>
      </c>
      <c r="H4" s="7">
        <f t="shared" si="1"/>
        <v>13.69091698387164</v>
      </c>
      <c r="I4" s="7">
        <f t="shared" si="2"/>
        <v>12.387020128264817</v>
      </c>
    </row>
    <row r="5" spans="1:9" x14ac:dyDescent="0.3">
      <c r="A5" t="s">
        <v>16</v>
      </c>
      <c r="B5" s="1">
        <v>1.82</v>
      </c>
      <c r="C5" s="1">
        <f>B5+(B5*10%)</f>
        <v>2.0020000000000002</v>
      </c>
      <c r="D5" s="1">
        <f t="shared" si="3"/>
        <v>1.6380000000000001</v>
      </c>
      <c r="F5" s="14" t="s">
        <v>16</v>
      </c>
      <c r="G5" s="7">
        <v>1.82</v>
      </c>
      <c r="H5" s="7">
        <f t="shared" si="1"/>
        <v>1.911</v>
      </c>
      <c r="I5" s="7">
        <f t="shared" si="2"/>
        <v>1.7290000000000001</v>
      </c>
    </row>
    <row r="6" spans="1:9" x14ac:dyDescent="0.3">
      <c r="A6" t="s">
        <v>17</v>
      </c>
      <c r="B6" s="1">
        <v>6.78</v>
      </c>
      <c r="C6" s="1">
        <f>B6+(B6*10%)</f>
        <v>7.4580000000000002</v>
      </c>
      <c r="D6" s="1">
        <f t="shared" si="3"/>
        <v>6.1020000000000003</v>
      </c>
      <c r="F6" s="14" t="s">
        <v>17</v>
      </c>
      <c r="G6" s="7">
        <v>6.78</v>
      </c>
      <c r="H6" s="7">
        <f t="shared" si="1"/>
        <v>7.1190000000000007</v>
      </c>
      <c r="I6" s="7">
        <f t="shared" si="2"/>
        <v>6.4409999999999998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1CA8-33ED-4625-91D2-C6457C5AC708}">
  <dimension ref="A1:L37"/>
  <sheetViews>
    <sheetView zoomScaleNormal="100" workbookViewId="0">
      <selection activeCell="J11" sqref="J11"/>
    </sheetView>
  </sheetViews>
  <sheetFormatPr defaultRowHeight="14.4" x14ac:dyDescent="0.3"/>
  <cols>
    <col min="1" max="1" width="7.44140625" style="9" bestFit="1" customWidth="1"/>
    <col min="2" max="2" width="7.44140625" style="9" customWidth="1"/>
    <col min="3" max="3" width="4.6640625" style="10" bestFit="1" customWidth="1"/>
    <col min="4" max="4" width="5.44140625" style="10" bestFit="1" customWidth="1"/>
    <col min="5" max="6" width="5" style="10" bestFit="1" customWidth="1"/>
  </cols>
  <sheetData>
    <row r="1" spans="1:12" x14ac:dyDescent="0.3">
      <c r="A1" s="9" t="s">
        <v>9</v>
      </c>
      <c r="B1" s="9" t="s">
        <v>54</v>
      </c>
      <c r="C1" s="9" t="s">
        <v>24</v>
      </c>
      <c r="D1" s="10" t="s">
        <v>1</v>
      </c>
      <c r="E1" s="10" t="s">
        <v>2</v>
      </c>
      <c r="F1" s="10" t="s">
        <v>3</v>
      </c>
    </row>
    <row r="2" spans="1:12" x14ac:dyDescent="0.3">
      <c r="A2" s="9" t="s">
        <v>4</v>
      </c>
      <c r="B2" s="9">
        <v>1</v>
      </c>
      <c r="C2" s="9" t="s">
        <v>5</v>
      </c>
      <c r="D2" s="10">
        <v>0.08</v>
      </c>
      <c r="E2" s="10">
        <v>0.06</v>
      </c>
      <c r="F2" s="10">
        <v>0.1</v>
      </c>
    </row>
    <row r="3" spans="1:12" x14ac:dyDescent="0.3">
      <c r="A3" s="9" t="s">
        <v>4</v>
      </c>
      <c r="B3" s="9">
        <v>1</v>
      </c>
      <c r="C3" s="9" t="s">
        <v>6</v>
      </c>
      <c r="D3" s="10">
        <v>6.12</v>
      </c>
      <c r="E3" s="10">
        <v>5.9</v>
      </c>
      <c r="F3" s="10">
        <v>6.34</v>
      </c>
    </row>
    <row r="4" spans="1:12" x14ac:dyDescent="0.3">
      <c r="A4" s="9" t="s">
        <v>4</v>
      </c>
      <c r="B4" s="9">
        <v>1</v>
      </c>
      <c r="C4" s="9" t="s">
        <v>7</v>
      </c>
      <c r="D4" s="10">
        <v>8</v>
      </c>
      <c r="E4" s="10">
        <v>7.61</v>
      </c>
      <c r="F4" s="10">
        <v>8.39</v>
      </c>
      <c r="I4" s="9" t="s">
        <v>24</v>
      </c>
      <c r="J4" s="10" t="s">
        <v>1</v>
      </c>
      <c r="K4" s="10" t="s">
        <v>2</v>
      </c>
      <c r="L4" s="10" t="s">
        <v>3</v>
      </c>
    </row>
    <row r="5" spans="1:12" x14ac:dyDescent="0.3">
      <c r="A5" s="9" t="s">
        <v>4</v>
      </c>
      <c r="B5" s="9">
        <v>1</v>
      </c>
      <c r="C5" s="9" t="s">
        <v>8</v>
      </c>
      <c r="D5" s="10">
        <v>1.48</v>
      </c>
      <c r="E5" s="10">
        <v>1.28</v>
      </c>
      <c r="F5" s="10">
        <v>1.68</v>
      </c>
    </row>
    <row r="6" spans="1:12" x14ac:dyDescent="0.3">
      <c r="A6" t="s">
        <v>29</v>
      </c>
      <c r="B6" s="9">
        <v>2</v>
      </c>
      <c r="C6" s="9" t="s">
        <v>5</v>
      </c>
      <c r="D6" s="10">
        <v>0.06</v>
      </c>
      <c r="E6" s="10">
        <v>0.05</v>
      </c>
      <c r="F6" s="10">
        <v>0.08</v>
      </c>
      <c r="I6" s="9" t="s">
        <v>6</v>
      </c>
      <c r="J6" s="10">
        <v>6.12</v>
      </c>
      <c r="K6" s="10">
        <v>5.9</v>
      </c>
      <c r="L6" s="10">
        <v>6.34</v>
      </c>
    </row>
    <row r="7" spans="1:12" x14ac:dyDescent="0.3">
      <c r="A7" t="s">
        <v>29</v>
      </c>
      <c r="B7" s="9">
        <v>2</v>
      </c>
      <c r="C7" s="9" t="s">
        <v>6</v>
      </c>
      <c r="D7" s="10">
        <v>6.16</v>
      </c>
      <c r="E7" s="10">
        <v>5.95</v>
      </c>
      <c r="F7" s="10">
        <v>6.39</v>
      </c>
      <c r="I7" s="9" t="s">
        <v>7</v>
      </c>
      <c r="J7" s="10">
        <v>8</v>
      </c>
      <c r="K7" s="10">
        <v>7.61</v>
      </c>
      <c r="L7" s="10">
        <v>8.39</v>
      </c>
    </row>
    <row r="8" spans="1:12" x14ac:dyDescent="0.3">
      <c r="A8" t="s">
        <v>29</v>
      </c>
      <c r="B8" s="9">
        <v>2</v>
      </c>
      <c r="C8" s="9" t="s">
        <v>7</v>
      </c>
      <c r="D8" s="10">
        <v>8.09</v>
      </c>
      <c r="E8" s="10">
        <v>7.69</v>
      </c>
      <c r="F8" s="10">
        <v>8.49</v>
      </c>
      <c r="I8" s="9" t="s">
        <v>8</v>
      </c>
      <c r="J8" s="10">
        <v>1.48</v>
      </c>
      <c r="K8" s="10">
        <v>1.28</v>
      </c>
      <c r="L8" s="10">
        <v>1.68</v>
      </c>
    </row>
    <row r="9" spans="1:12" x14ac:dyDescent="0.3">
      <c r="A9" t="s">
        <v>29</v>
      </c>
      <c r="B9" s="9">
        <v>2</v>
      </c>
      <c r="C9" s="9" t="s">
        <v>8</v>
      </c>
      <c r="D9" s="10">
        <v>1.74</v>
      </c>
      <c r="E9" s="10">
        <v>1.52</v>
      </c>
      <c r="F9" s="10">
        <v>1.96</v>
      </c>
      <c r="I9" s="9" t="s">
        <v>5</v>
      </c>
      <c r="J9" s="10">
        <v>0.08</v>
      </c>
      <c r="K9" s="10">
        <v>0.06</v>
      </c>
      <c r="L9" s="10">
        <v>0.1</v>
      </c>
    </row>
    <row r="10" spans="1:12" x14ac:dyDescent="0.3">
      <c r="A10" t="s">
        <v>30</v>
      </c>
      <c r="B10" s="9">
        <v>3</v>
      </c>
      <c r="C10" s="9" t="s">
        <v>5</v>
      </c>
      <c r="D10" s="10">
        <v>0.1</v>
      </c>
      <c r="E10" s="10">
        <v>0.08</v>
      </c>
      <c r="F10" s="10">
        <v>0.13</v>
      </c>
    </row>
    <row r="11" spans="1:12" x14ac:dyDescent="0.3">
      <c r="A11" t="s">
        <v>30</v>
      </c>
      <c r="B11" s="9">
        <v>3</v>
      </c>
      <c r="C11" s="9" t="s">
        <v>6</v>
      </c>
      <c r="D11" s="10">
        <v>6.07</v>
      </c>
      <c r="E11" s="10">
        <v>5.86</v>
      </c>
      <c r="F11" s="10">
        <v>6.28</v>
      </c>
    </row>
    <row r="12" spans="1:12" x14ac:dyDescent="0.3">
      <c r="A12" t="s">
        <v>30</v>
      </c>
      <c r="B12" s="9">
        <v>3</v>
      </c>
      <c r="C12" s="9" t="s">
        <v>7</v>
      </c>
      <c r="D12" s="10">
        <v>7.9</v>
      </c>
      <c r="E12" s="10">
        <v>7.51</v>
      </c>
      <c r="F12" s="10">
        <v>8.2899999999999991</v>
      </c>
    </row>
    <row r="13" spans="1:12" x14ac:dyDescent="0.3">
      <c r="A13" t="s">
        <v>30</v>
      </c>
      <c r="B13" s="9">
        <v>3</v>
      </c>
      <c r="C13" s="9" t="s">
        <v>8</v>
      </c>
      <c r="D13" s="10">
        <v>1.21</v>
      </c>
      <c r="E13" s="10">
        <v>1.04</v>
      </c>
      <c r="F13" s="10">
        <v>1.38</v>
      </c>
    </row>
    <row r="14" spans="1:12" x14ac:dyDescent="0.3">
      <c r="A14" t="s">
        <v>31</v>
      </c>
      <c r="B14" s="9">
        <v>4</v>
      </c>
      <c r="C14" s="9" t="s">
        <v>5</v>
      </c>
      <c r="D14" s="10">
        <v>0.09</v>
      </c>
      <c r="E14" s="10">
        <v>7.0000000000000007E-2</v>
      </c>
      <c r="F14" s="10">
        <v>0.11</v>
      </c>
    </row>
    <row r="15" spans="1:12" x14ac:dyDescent="0.3">
      <c r="A15" t="s">
        <v>31</v>
      </c>
      <c r="B15" s="9">
        <v>4</v>
      </c>
      <c r="C15" s="9" t="s">
        <v>6</v>
      </c>
      <c r="D15" s="10">
        <v>6.13</v>
      </c>
      <c r="E15" s="10">
        <v>5.91</v>
      </c>
      <c r="F15" s="10">
        <v>6.35</v>
      </c>
    </row>
    <row r="16" spans="1:12" x14ac:dyDescent="0.3">
      <c r="A16" t="s">
        <v>31</v>
      </c>
      <c r="B16" s="9">
        <v>4</v>
      </c>
      <c r="C16" s="9" t="s">
        <v>7</v>
      </c>
      <c r="D16" s="10">
        <v>8</v>
      </c>
      <c r="E16" s="10">
        <v>7.61</v>
      </c>
      <c r="F16" s="10">
        <v>8.39</v>
      </c>
    </row>
    <row r="17" spans="1:6" x14ac:dyDescent="0.3">
      <c r="A17" t="s">
        <v>31</v>
      </c>
      <c r="B17" s="9">
        <v>4</v>
      </c>
      <c r="C17" s="9" t="s">
        <v>8</v>
      </c>
      <c r="D17" s="10">
        <v>1.36</v>
      </c>
      <c r="E17" s="10">
        <v>1.17</v>
      </c>
      <c r="F17" s="10">
        <v>1.55</v>
      </c>
    </row>
    <row r="18" spans="1:6" x14ac:dyDescent="0.3">
      <c r="A18" t="s">
        <v>32</v>
      </c>
      <c r="B18" s="9">
        <v>5</v>
      </c>
      <c r="C18" s="9" t="s">
        <v>5</v>
      </c>
      <c r="D18" s="10">
        <v>7.0000000000000007E-2</v>
      </c>
      <c r="E18" s="10">
        <v>0.05</v>
      </c>
      <c r="F18" s="10">
        <v>0.09</v>
      </c>
    </row>
    <row r="19" spans="1:6" x14ac:dyDescent="0.3">
      <c r="A19" t="s">
        <v>32</v>
      </c>
      <c r="B19" s="9">
        <v>5</v>
      </c>
      <c r="C19" s="9" t="s">
        <v>6</v>
      </c>
      <c r="D19" s="10">
        <v>6.12</v>
      </c>
      <c r="E19" s="10">
        <v>5.9</v>
      </c>
      <c r="F19" s="10">
        <v>6.34</v>
      </c>
    </row>
    <row r="20" spans="1:6" x14ac:dyDescent="0.3">
      <c r="A20" t="s">
        <v>32</v>
      </c>
      <c r="B20" s="9">
        <v>5</v>
      </c>
      <c r="C20" s="9" t="s">
        <v>7</v>
      </c>
      <c r="D20" s="10">
        <v>8</v>
      </c>
      <c r="E20" s="10">
        <v>7.61</v>
      </c>
      <c r="F20" s="10">
        <v>8.39</v>
      </c>
    </row>
    <row r="21" spans="1:6" x14ac:dyDescent="0.3">
      <c r="A21" t="s">
        <v>32</v>
      </c>
      <c r="B21" s="9">
        <v>5</v>
      </c>
      <c r="C21" s="9" t="s">
        <v>8</v>
      </c>
      <c r="D21" s="10">
        <v>1.61</v>
      </c>
      <c r="E21" s="10">
        <v>1.5</v>
      </c>
      <c r="F21" s="10">
        <v>1.92</v>
      </c>
    </row>
    <row r="22" spans="1:6" x14ac:dyDescent="0.3">
      <c r="A22" s="11" t="s">
        <v>41</v>
      </c>
      <c r="B22" s="11">
        <v>6</v>
      </c>
      <c r="C22" s="9" t="s">
        <v>5</v>
      </c>
      <c r="D22" s="10">
        <v>0.06</v>
      </c>
      <c r="E22" s="10">
        <v>0.04</v>
      </c>
      <c r="F22" s="10">
        <v>0.08</v>
      </c>
    </row>
    <row r="23" spans="1:6" x14ac:dyDescent="0.3">
      <c r="A23" s="11" t="s">
        <v>41</v>
      </c>
      <c r="B23" s="11">
        <v>6</v>
      </c>
      <c r="C23" s="9" t="s">
        <v>6</v>
      </c>
      <c r="D23" s="10">
        <v>6.12</v>
      </c>
      <c r="E23" s="10">
        <v>5.9</v>
      </c>
      <c r="F23" s="10">
        <v>6.34</v>
      </c>
    </row>
    <row r="24" spans="1:6" x14ac:dyDescent="0.3">
      <c r="A24" s="11" t="s">
        <v>41</v>
      </c>
      <c r="B24" s="11">
        <v>6</v>
      </c>
      <c r="C24" s="9" t="s">
        <v>7</v>
      </c>
      <c r="D24" s="10">
        <v>8</v>
      </c>
      <c r="E24" s="10">
        <v>7.61</v>
      </c>
      <c r="F24" s="10">
        <v>8.39</v>
      </c>
    </row>
    <row r="25" spans="1:6" x14ac:dyDescent="0.3">
      <c r="A25" s="11" t="s">
        <v>41</v>
      </c>
      <c r="B25" s="11">
        <v>6</v>
      </c>
      <c r="C25" s="9" t="s">
        <v>8</v>
      </c>
      <c r="D25" s="10">
        <v>1.48</v>
      </c>
      <c r="E25" s="10">
        <v>1.28</v>
      </c>
      <c r="F25" s="10">
        <v>1.68</v>
      </c>
    </row>
    <row r="26" spans="1:6" x14ac:dyDescent="0.3">
      <c r="A26" s="11" t="s">
        <v>42</v>
      </c>
      <c r="B26" s="11">
        <v>7</v>
      </c>
      <c r="C26" s="9" t="s">
        <v>5</v>
      </c>
      <c r="D26" s="10">
        <v>0.1</v>
      </c>
      <c r="E26" s="10">
        <v>0.08</v>
      </c>
      <c r="F26" s="10">
        <v>0.12</v>
      </c>
    </row>
    <row r="27" spans="1:6" x14ac:dyDescent="0.3">
      <c r="A27" s="11" t="s">
        <v>42</v>
      </c>
      <c r="B27" s="11">
        <v>7</v>
      </c>
      <c r="C27" s="9" t="s">
        <v>6</v>
      </c>
      <c r="D27" s="10">
        <v>6.12</v>
      </c>
      <c r="E27" s="10">
        <v>5.9</v>
      </c>
      <c r="F27" s="10">
        <v>6.34</v>
      </c>
    </row>
    <row r="28" spans="1:6" x14ac:dyDescent="0.3">
      <c r="A28" s="11" t="s">
        <v>42</v>
      </c>
      <c r="B28" s="11">
        <v>7</v>
      </c>
      <c r="C28" s="9" t="s">
        <v>7</v>
      </c>
      <c r="D28" s="10">
        <v>8</v>
      </c>
      <c r="E28" s="10">
        <v>7.61</v>
      </c>
      <c r="F28" s="10">
        <v>8.39</v>
      </c>
    </row>
    <row r="29" spans="1:6" x14ac:dyDescent="0.3">
      <c r="A29" s="11" t="s">
        <v>42</v>
      </c>
      <c r="B29" s="11">
        <v>7</v>
      </c>
      <c r="C29" s="9" t="s">
        <v>8</v>
      </c>
      <c r="D29" s="10">
        <v>1.48</v>
      </c>
      <c r="E29" s="10">
        <v>1.28</v>
      </c>
      <c r="F29" s="10">
        <v>1.68</v>
      </c>
    </row>
    <row r="30" spans="1:6" x14ac:dyDescent="0.3">
      <c r="A30" s="11" t="s">
        <v>47</v>
      </c>
      <c r="B30" s="11">
        <v>8</v>
      </c>
      <c r="C30" s="9" t="s">
        <v>5</v>
      </c>
      <c r="D30" s="10">
        <v>0.08</v>
      </c>
      <c r="E30" s="10">
        <v>0.06</v>
      </c>
      <c r="F30" s="10">
        <v>0.1</v>
      </c>
    </row>
    <row r="31" spans="1:6" x14ac:dyDescent="0.3">
      <c r="A31" s="11" t="s">
        <v>47</v>
      </c>
      <c r="B31" s="11">
        <v>8</v>
      </c>
      <c r="C31" s="9" t="s">
        <v>6</v>
      </c>
      <c r="D31" s="10">
        <v>6.12</v>
      </c>
      <c r="E31" s="10">
        <v>5.9</v>
      </c>
      <c r="F31" s="10">
        <v>6.34</v>
      </c>
    </row>
    <row r="32" spans="1:6" x14ac:dyDescent="0.3">
      <c r="A32" s="11" t="s">
        <v>47</v>
      </c>
      <c r="B32" s="11">
        <v>8</v>
      </c>
      <c r="C32" s="9" t="s">
        <v>7</v>
      </c>
      <c r="D32" s="10">
        <v>8</v>
      </c>
      <c r="E32" s="10">
        <v>7.61</v>
      </c>
      <c r="F32" s="10">
        <v>8.39</v>
      </c>
    </row>
    <row r="33" spans="1:6" x14ac:dyDescent="0.3">
      <c r="A33" s="11" t="s">
        <v>47</v>
      </c>
      <c r="B33" s="11">
        <v>8</v>
      </c>
      <c r="C33" s="9" t="s">
        <v>8</v>
      </c>
      <c r="D33" s="10">
        <v>1.48</v>
      </c>
      <c r="E33" s="10">
        <v>1.28</v>
      </c>
      <c r="F33" s="10">
        <v>1.68</v>
      </c>
    </row>
    <row r="34" spans="1:6" x14ac:dyDescent="0.3">
      <c r="A34" s="11" t="s">
        <v>48</v>
      </c>
      <c r="B34" s="11">
        <v>9</v>
      </c>
      <c r="C34" s="9" t="s">
        <v>5</v>
      </c>
      <c r="D34" s="10">
        <v>0.08</v>
      </c>
      <c r="E34" s="10">
        <v>0.06</v>
      </c>
      <c r="F34" s="10">
        <v>0.1</v>
      </c>
    </row>
    <row r="35" spans="1:6" x14ac:dyDescent="0.3">
      <c r="A35" s="11" t="s">
        <v>48</v>
      </c>
      <c r="B35" s="11">
        <v>9</v>
      </c>
      <c r="C35" s="9" t="s">
        <v>6</v>
      </c>
      <c r="D35" s="10">
        <v>6.12</v>
      </c>
      <c r="E35" s="10">
        <v>5.9</v>
      </c>
      <c r="F35" s="10">
        <v>6.34</v>
      </c>
    </row>
    <row r="36" spans="1:6" x14ac:dyDescent="0.3">
      <c r="A36" s="11" t="s">
        <v>48</v>
      </c>
      <c r="B36" s="11">
        <v>9</v>
      </c>
      <c r="C36" s="9" t="s">
        <v>7</v>
      </c>
      <c r="D36" s="10">
        <v>8</v>
      </c>
      <c r="E36" s="10">
        <v>7.61</v>
      </c>
      <c r="F36" s="10">
        <v>8.39</v>
      </c>
    </row>
    <row r="37" spans="1:6" x14ac:dyDescent="0.3">
      <c r="A37" s="11" t="s">
        <v>48</v>
      </c>
      <c r="B37" s="11">
        <v>9</v>
      </c>
      <c r="C37" s="9" t="s">
        <v>8</v>
      </c>
      <c r="D37" s="10">
        <v>1.48</v>
      </c>
      <c r="E37" s="10">
        <v>1.28</v>
      </c>
      <c r="F37" s="10">
        <v>1.68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B2EF-FD09-40D5-9884-A7E527ACB063}">
  <dimension ref="A1:F37"/>
  <sheetViews>
    <sheetView tabSelected="1" workbookViewId="0">
      <selection activeCell="C3" sqref="C3"/>
    </sheetView>
  </sheetViews>
  <sheetFormatPr defaultRowHeight="14.4" x14ac:dyDescent="0.3"/>
  <cols>
    <col min="1" max="1" width="7.44140625" style="9" bestFit="1" customWidth="1"/>
    <col min="2" max="2" width="4.88671875" style="9" bestFit="1" customWidth="1"/>
    <col min="3" max="3" width="6.21875" style="10" bestFit="1" customWidth="1"/>
    <col min="4" max="6" width="6" style="10" bestFit="1" customWidth="1"/>
  </cols>
  <sheetData>
    <row r="1" spans="1:6" x14ac:dyDescent="0.3">
      <c r="A1" s="9" t="s">
        <v>9</v>
      </c>
      <c r="B1" s="9" t="s">
        <v>54</v>
      </c>
      <c r="C1" s="9" t="s">
        <v>24</v>
      </c>
      <c r="D1" s="10" t="s">
        <v>1</v>
      </c>
      <c r="E1" s="10" t="s">
        <v>2</v>
      </c>
      <c r="F1" s="10" t="s">
        <v>3</v>
      </c>
    </row>
    <row r="2" spans="1:6" x14ac:dyDescent="0.3">
      <c r="A2" s="9" t="s">
        <v>4</v>
      </c>
      <c r="B2" s="9">
        <v>1</v>
      </c>
      <c r="C2" s="9" t="s">
        <v>8</v>
      </c>
      <c r="D2" s="10">
        <v>1.07</v>
      </c>
      <c r="E2" s="10">
        <v>0.84499999999999997</v>
      </c>
      <c r="F2" s="10">
        <v>1.41</v>
      </c>
    </row>
    <row r="3" spans="1:6" x14ac:dyDescent="0.3">
      <c r="A3" s="9" t="s">
        <v>4</v>
      </c>
      <c r="B3" s="9">
        <v>1</v>
      </c>
      <c r="C3" s="9" t="s">
        <v>72</v>
      </c>
      <c r="D3" s="10">
        <v>0.27</v>
      </c>
      <c r="E3" s="10">
        <v>0.19</v>
      </c>
      <c r="F3" s="10">
        <v>0.37</v>
      </c>
    </row>
    <row r="4" spans="1:6" x14ac:dyDescent="0.3">
      <c r="A4" s="9" t="s">
        <v>4</v>
      </c>
      <c r="B4" s="9">
        <v>1</v>
      </c>
      <c r="C4" s="9" t="s">
        <v>68</v>
      </c>
      <c r="D4" s="10">
        <v>0.04</v>
      </c>
      <c r="E4" s="10">
        <v>2.8000000000000001E-2</v>
      </c>
      <c r="F4" s="10">
        <v>5.3999999999999999E-2</v>
      </c>
    </row>
    <row r="5" spans="1:6" x14ac:dyDescent="0.3">
      <c r="A5" s="9" t="s">
        <v>4</v>
      </c>
      <c r="B5" s="9">
        <v>1</v>
      </c>
      <c r="C5" s="9" t="s">
        <v>69</v>
      </c>
      <c r="D5" s="10">
        <v>0.75</v>
      </c>
      <c r="E5" s="10">
        <v>0.53</v>
      </c>
      <c r="F5" s="10">
        <v>1</v>
      </c>
    </row>
    <row r="6" spans="1:6" x14ac:dyDescent="0.3">
      <c r="A6" t="s">
        <v>29</v>
      </c>
      <c r="B6" s="9">
        <v>2</v>
      </c>
      <c r="C6" s="9" t="s">
        <v>8</v>
      </c>
      <c r="D6" s="10">
        <v>1.33</v>
      </c>
      <c r="E6" s="10">
        <v>1.1299999999999999</v>
      </c>
      <c r="F6" s="10">
        <v>1.59</v>
      </c>
    </row>
    <row r="7" spans="1:6" x14ac:dyDescent="0.3">
      <c r="A7" t="s">
        <v>29</v>
      </c>
      <c r="B7" s="9">
        <v>2</v>
      </c>
      <c r="C7" s="9" t="s">
        <v>72</v>
      </c>
      <c r="D7" s="10">
        <v>0.22</v>
      </c>
      <c r="E7" s="10">
        <v>0.17</v>
      </c>
      <c r="F7" s="10">
        <v>0.27</v>
      </c>
    </row>
    <row r="8" spans="1:6" x14ac:dyDescent="0.3">
      <c r="A8" t="s">
        <v>29</v>
      </c>
      <c r="B8" s="9">
        <v>2</v>
      </c>
      <c r="C8" s="9" t="s">
        <v>68</v>
      </c>
      <c r="D8" s="10">
        <v>3.5000000000000003E-2</v>
      </c>
      <c r="E8" s="10">
        <v>2.7E-2</v>
      </c>
      <c r="F8" s="10">
        <v>4.2000000000000003E-2</v>
      </c>
    </row>
    <row r="9" spans="1:6" x14ac:dyDescent="0.3">
      <c r="A9" t="s">
        <v>29</v>
      </c>
      <c r="B9" s="9">
        <v>2</v>
      </c>
      <c r="C9" s="9" t="s">
        <v>69</v>
      </c>
      <c r="D9" s="10">
        <v>0.59</v>
      </c>
      <c r="E9" s="10">
        <v>0.48</v>
      </c>
      <c r="F9" s="10">
        <v>0.74</v>
      </c>
    </row>
    <row r="10" spans="1:6" x14ac:dyDescent="0.3">
      <c r="A10" t="s">
        <v>30</v>
      </c>
      <c r="B10" s="9">
        <v>3</v>
      </c>
      <c r="C10" s="9" t="s">
        <v>8</v>
      </c>
      <c r="D10" s="10">
        <v>0.88400000000000001</v>
      </c>
      <c r="E10" s="10">
        <v>0.61899999999999999</v>
      </c>
      <c r="F10" s="10">
        <v>1.1100000000000001</v>
      </c>
    </row>
    <row r="11" spans="1:6" x14ac:dyDescent="0.3">
      <c r="A11" t="s">
        <v>30</v>
      </c>
      <c r="B11" s="9">
        <v>3</v>
      </c>
      <c r="C11" s="9" t="s">
        <v>72</v>
      </c>
      <c r="D11" s="10">
        <v>0.34</v>
      </c>
      <c r="E11" s="10">
        <v>0.22</v>
      </c>
      <c r="F11" s="10">
        <v>0.48</v>
      </c>
    </row>
    <row r="12" spans="1:6" x14ac:dyDescent="0.3">
      <c r="A12" t="s">
        <v>30</v>
      </c>
      <c r="B12" s="9">
        <v>3</v>
      </c>
      <c r="C12" s="9" t="s">
        <v>68</v>
      </c>
      <c r="D12" s="10">
        <v>3.9E-2</v>
      </c>
      <c r="E12" s="10">
        <v>2.5000000000000001E-2</v>
      </c>
      <c r="F12" s="10">
        <v>5.5E-2</v>
      </c>
    </row>
    <row r="13" spans="1:6" x14ac:dyDescent="0.3">
      <c r="A13" t="s">
        <v>30</v>
      </c>
      <c r="B13" s="9">
        <v>3</v>
      </c>
      <c r="C13" s="9" t="s">
        <v>69</v>
      </c>
      <c r="D13" s="10">
        <v>0.94</v>
      </c>
      <c r="E13" s="10">
        <v>0.61</v>
      </c>
      <c r="F13" s="10">
        <v>1.3</v>
      </c>
    </row>
    <row r="14" spans="1:6" x14ac:dyDescent="0.3">
      <c r="A14" t="s">
        <v>31</v>
      </c>
      <c r="B14" s="9">
        <v>4</v>
      </c>
      <c r="C14" s="9" t="s">
        <v>8</v>
      </c>
      <c r="D14" s="10">
        <v>0.97399999999999998</v>
      </c>
      <c r="E14" s="10">
        <v>0.80600000000000005</v>
      </c>
      <c r="F14" s="10">
        <v>1.18</v>
      </c>
    </row>
    <row r="15" spans="1:6" x14ac:dyDescent="0.3">
      <c r="A15" t="s">
        <v>31</v>
      </c>
      <c r="B15" s="9">
        <v>4</v>
      </c>
      <c r="C15" s="9" t="s">
        <v>72</v>
      </c>
      <c r="D15" s="10">
        <v>0.28999999999999998</v>
      </c>
      <c r="E15" s="10">
        <v>0.22</v>
      </c>
      <c r="F15" s="10">
        <v>0.37</v>
      </c>
    </row>
    <row r="16" spans="1:6" x14ac:dyDescent="0.3">
      <c r="A16" t="s">
        <v>31</v>
      </c>
      <c r="B16" s="9">
        <v>4</v>
      </c>
      <c r="C16" s="9" t="s">
        <v>68</v>
      </c>
      <c r="D16" s="10">
        <v>3.5999999999999997E-2</v>
      </c>
      <c r="E16" s="10">
        <v>2.8000000000000001E-2</v>
      </c>
      <c r="F16" s="10">
        <v>4.5999999999999999E-2</v>
      </c>
    </row>
    <row r="17" spans="1:6" x14ac:dyDescent="0.3">
      <c r="A17" t="s">
        <v>31</v>
      </c>
      <c r="B17" s="9">
        <v>4</v>
      </c>
      <c r="C17" s="9" t="s">
        <v>69</v>
      </c>
      <c r="D17" s="10">
        <v>0.81</v>
      </c>
      <c r="E17" s="10">
        <v>0.62</v>
      </c>
      <c r="F17" s="10">
        <v>1</v>
      </c>
    </row>
    <row r="18" spans="1:6" x14ac:dyDescent="0.3">
      <c r="A18" t="s">
        <v>32</v>
      </c>
      <c r="B18" s="9">
        <v>5</v>
      </c>
      <c r="C18" s="9" t="s">
        <v>8</v>
      </c>
      <c r="D18" s="10">
        <v>1.23</v>
      </c>
      <c r="E18" s="10">
        <v>0.93300000000000005</v>
      </c>
      <c r="F18" s="10">
        <v>1.58</v>
      </c>
    </row>
    <row r="19" spans="1:6" x14ac:dyDescent="0.3">
      <c r="A19" t="s">
        <v>32</v>
      </c>
      <c r="B19" s="9">
        <v>5</v>
      </c>
      <c r="C19" s="9" t="s">
        <v>72</v>
      </c>
      <c r="D19" s="10">
        <v>0.24</v>
      </c>
      <c r="E19" s="10">
        <v>0.16</v>
      </c>
      <c r="F19" s="10">
        <v>0.32</v>
      </c>
    </row>
    <row r="20" spans="1:6" x14ac:dyDescent="0.3">
      <c r="A20" t="s">
        <v>32</v>
      </c>
      <c r="B20" s="9">
        <v>5</v>
      </c>
      <c r="C20" s="9" t="s">
        <v>68</v>
      </c>
      <c r="D20" s="10">
        <v>4.2000000000000003E-2</v>
      </c>
      <c r="E20" s="10">
        <v>2.8000000000000001E-2</v>
      </c>
      <c r="F20" s="10">
        <v>5.7000000000000002E-2</v>
      </c>
    </row>
    <row r="21" spans="1:6" x14ac:dyDescent="0.3">
      <c r="A21" t="s">
        <v>32</v>
      </c>
      <c r="B21" s="9">
        <v>5</v>
      </c>
      <c r="C21" s="9" t="s">
        <v>69</v>
      </c>
      <c r="D21" s="10">
        <v>0.65</v>
      </c>
      <c r="E21" s="10">
        <v>0.44</v>
      </c>
      <c r="F21" s="10">
        <v>0.88</v>
      </c>
    </row>
    <row r="22" spans="1:6" x14ac:dyDescent="0.3">
      <c r="A22" s="11" t="s">
        <v>41</v>
      </c>
      <c r="B22" s="11">
        <v>6</v>
      </c>
      <c r="C22" s="9" t="s">
        <v>8</v>
      </c>
      <c r="D22" s="10">
        <v>1.07</v>
      </c>
      <c r="E22" s="10">
        <v>0.84499999999999997</v>
      </c>
      <c r="F22" s="10">
        <v>1.41</v>
      </c>
    </row>
    <row r="23" spans="1:6" x14ac:dyDescent="0.3">
      <c r="A23" s="11" t="s">
        <v>41</v>
      </c>
      <c r="B23" s="11">
        <v>6</v>
      </c>
      <c r="C23" s="9" t="s">
        <v>72</v>
      </c>
      <c r="D23" s="10">
        <v>0.27</v>
      </c>
      <c r="E23" s="10">
        <v>0.19</v>
      </c>
      <c r="F23" s="10">
        <v>0.37</v>
      </c>
    </row>
    <row r="24" spans="1:6" x14ac:dyDescent="0.3">
      <c r="A24" s="11" t="s">
        <v>41</v>
      </c>
      <c r="B24" s="11">
        <v>6</v>
      </c>
      <c r="C24" s="9" t="s">
        <v>68</v>
      </c>
      <c r="D24" s="10">
        <v>0.04</v>
      </c>
      <c r="E24" s="10">
        <v>2.8000000000000001E-2</v>
      </c>
      <c r="F24" s="10">
        <v>5.3999999999999999E-2</v>
      </c>
    </row>
    <row r="25" spans="1:6" x14ac:dyDescent="0.3">
      <c r="A25" s="11" t="s">
        <v>41</v>
      </c>
      <c r="B25" s="11">
        <v>6</v>
      </c>
      <c r="C25" s="9" t="s">
        <v>69</v>
      </c>
      <c r="D25" s="10">
        <v>0.75</v>
      </c>
      <c r="E25" s="10">
        <v>0.53</v>
      </c>
      <c r="F25" s="10">
        <v>1</v>
      </c>
    </row>
    <row r="26" spans="1:6" x14ac:dyDescent="0.3">
      <c r="A26" s="11" t="s">
        <v>42</v>
      </c>
      <c r="B26" s="11">
        <v>7</v>
      </c>
      <c r="C26" s="9" t="s">
        <v>8</v>
      </c>
      <c r="D26" s="10">
        <v>1.07</v>
      </c>
      <c r="E26" s="10">
        <v>0.84499999999999997</v>
      </c>
      <c r="F26" s="10">
        <v>1.41</v>
      </c>
    </row>
    <row r="27" spans="1:6" x14ac:dyDescent="0.3">
      <c r="A27" s="11" t="s">
        <v>42</v>
      </c>
      <c r="B27" s="11">
        <v>7</v>
      </c>
      <c r="C27" s="9" t="s">
        <v>72</v>
      </c>
      <c r="D27" s="10">
        <v>0.27</v>
      </c>
      <c r="E27" s="10">
        <v>0.19</v>
      </c>
      <c r="F27" s="10">
        <v>0.37</v>
      </c>
    </row>
    <row r="28" spans="1:6" x14ac:dyDescent="0.3">
      <c r="A28" s="11" t="s">
        <v>42</v>
      </c>
      <c r="B28" s="11">
        <v>7</v>
      </c>
      <c r="C28" s="9" t="s">
        <v>68</v>
      </c>
      <c r="D28" s="10">
        <v>0.04</v>
      </c>
      <c r="E28" s="10">
        <v>2.8000000000000001E-2</v>
      </c>
      <c r="F28" s="10">
        <v>5.3999999999999999E-2</v>
      </c>
    </row>
    <row r="29" spans="1:6" x14ac:dyDescent="0.3">
      <c r="A29" s="11" t="s">
        <v>42</v>
      </c>
      <c r="B29" s="11">
        <v>7</v>
      </c>
      <c r="C29" s="9" t="s">
        <v>69</v>
      </c>
      <c r="D29" s="10">
        <v>0.75</v>
      </c>
      <c r="E29" s="10">
        <v>0.53</v>
      </c>
      <c r="F29" s="10">
        <v>1</v>
      </c>
    </row>
    <row r="30" spans="1:6" x14ac:dyDescent="0.3">
      <c r="A30" s="11" t="s">
        <v>70</v>
      </c>
      <c r="B30" s="11">
        <v>8</v>
      </c>
      <c r="C30" s="9" t="s">
        <v>8</v>
      </c>
      <c r="D30" s="10">
        <v>1.29</v>
      </c>
      <c r="E30" s="10">
        <v>1.06</v>
      </c>
      <c r="F30" s="10">
        <v>1.62</v>
      </c>
    </row>
    <row r="31" spans="1:6" x14ac:dyDescent="0.3">
      <c r="A31" s="11" t="s">
        <v>70</v>
      </c>
      <c r="B31" s="11">
        <v>8</v>
      </c>
      <c r="C31" s="9" t="s">
        <v>72</v>
      </c>
      <c r="D31" s="10">
        <v>0.24</v>
      </c>
      <c r="E31" s="10">
        <v>0.18</v>
      </c>
      <c r="F31" s="10">
        <v>0.31</v>
      </c>
    </row>
    <row r="32" spans="1:6" x14ac:dyDescent="0.3">
      <c r="A32" s="11" t="s">
        <v>70</v>
      </c>
      <c r="B32" s="11">
        <v>8</v>
      </c>
      <c r="C32" s="9" t="s">
        <v>68</v>
      </c>
      <c r="D32" s="10">
        <v>4.3999999999999997E-2</v>
      </c>
      <c r="E32" s="10">
        <v>3.4000000000000002E-2</v>
      </c>
      <c r="F32" s="10">
        <v>5.8000000000000003E-2</v>
      </c>
    </row>
    <row r="33" spans="1:6" x14ac:dyDescent="0.3">
      <c r="A33" s="11" t="s">
        <v>70</v>
      </c>
      <c r="B33" s="11">
        <v>8</v>
      </c>
      <c r="C33" s="9" t="s">
        <v>69</v>
      </c>
      <c r="D33" s="10">
        <v>0.64</v>
      </c>
      <c r="E33" s="10">
        <v>0.49</v>
      </c>
      <c r="F33" s="10">
        <v>0.85</v>
      </c>
    </row>
    <row r="34" spans="1:6" x14ac:dyDescent="0.3">
      <c r="A34" s="11" t="s">
        <v>71</v>
      </c>
      <c r="B34" s="11">
        <v>9</v>
      </c>
      <c r="C34" s="9" t="s">
        <v>8</v>
      </c>
      <c r="D34" s="10">
        <v>0.96799999999999997</v>
      </c>
      <c r="E34" s="10">
        <v>0.76</v>
      </c>
      <c r="F34" s="10">
        <v>1.19</v>
      </c>
    </row>
    <row r="35" spans="1:6" x14ac:dyDescent="0.3">
      <c r="A35" s="11" t="s">
        <v>71</v>
      </c>
      <c r="B35" s="11">
        <v>9</v>
      </c>
      <c r="C35" s="9" t="s">
        <v>72</v>
      </c>
      <c r="D35" s="10">
        <v>0.28999999999999998</v>
      </c>
      <c r="E35" s="10">
        <v>0.21</v>
      </c>
      <c r="F35" s="10">
        <v>0.38</v>
      </c>
    </row>
    <row r="36" spans="1:6" x14ac:dyDescent="0.3">
      <c r="A36" s="11" t="s">
        <v>71</v>
      </c>
      <c r="B36" s="11">
        <v>9</v>
      </c>
      <c r="C36" s="9" t="s">
        <v>68</v>
      </c>
      <c r="D36" s="10">
        <v>3.5000000000000003E-2</v>
      </c>
      <c r="E36" s="10">
        <v>2.5000000000000001E-2</v>
      </c>
      <c r="F36" s="10">
        <v>4.5999999999999999E-2</v>
      </c>
    </row>
    <row r="37" spans="1:6" x14ac:dyDescent="0.3">
      <c r="A37" s="11" t="s">
        <v>71</v>
      </c>
      <c r="B37" s="11">
        <v>9</v>
      </c>
      <c r="C37" s="9" t="s">
        <v>69</v>
      </c>
      <c r="D37" s="10">
        <v>0.81</v>
      </c>
      <c r="E37" s="10">
        <v>0.57999999999999996</v>
      </c>
      <c r="F37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7BB0F-6B46-4378-B138-CDC269BEC85F}">
  <dimension ref="A1:L37"/>
  <sheetViews>
    <sheetView topLeftCell="A16" zoomScaleNormal="100" workbookViewId="0">
      <selection activeCell="I15" sqref="I15:J19"/>
    </sheetView>
  </sheetViews>
  <sheetFormatPr defaultRowHeight="14.4" x14ac:dyDescent="0.3"/>
  <cols>
    <col min="1" max="1" width="7.44140625" style="9" bestFit="1" customWidth="1"/>
    <col min="2" max="2" width="4.6640625" style="10" bestFit="1" customWidth="1"/>
    <col min="3" max="3" width="5.44140625" style="10" bestFit="1" customWidth="1"/>
    <col min="4" max="5" width="5" style="10" bestFit="1" customWidth="1"/>
    <col min="6" max="6" width="1.21875" customWidth="1"/>
    <col min="7" max="7" width="8.33203125" style="11" customWidth="1"/>
    <col min="8" max="11" width="14.109375" style="6" bestFit="1" customWidth="1"/>
  </cols>
  <sheetData>
    <row r="1" spans="1:12" ht="15" thickBot="1" x14ac:dyDescent="0.35">
      <c r="A1" s="9" t="s">
        <v>9</v>
      </c>
      <c r="B1" s="9" t="s">
        <v>24</v>
      </c>
      <c r="C1" s="10" t="s">
        <v>1</v>
      </c>
      <c r="D1" s="10" t="s">
        <v>2</v>
      </c>
      <c r="E1" s="10" t="s">
        <v>3</v>
      </c>
      <c r="G1" s="11" t="s">
        <v>9</v>
      </c>
      <c r="H1" s="5" t="s">
        <v>5</v>
      </c>
      <c r="I1" s="5" t="s">
        <v>6</v>
      </c>
      <c r="J1" s="5" t="s">
        <v>22</v>
      </c>
      <c r="K1" s="5" t="s">
        <v>23</v>
      </c>
    </row>
    <row r="2" spans="1:12" ht="15" thickBot="1" x14ac:dyDescent="0.35">
      <c r="A2" s="9" t="s">
        <v>4</v>
      </c>
      <c r="B2" s="9" t="s">
        <v>5</v>
      </c>
      <c r="C2" s="10">
        <v>0.08</v>
      </c>
      <c r="D2" s="10">
        <v>0.06</v>
      </c>
      <c r="E2" s="10">
        <v>0.1</v>
      </c>
      <c r="G2" s="11" t="s">
        <v>4</v>
      </c>
      <c r="H2" s="8" t="s">
        <v>53</v>
      </c>
      <c r="I2" s="8" t="s">
        <v>44</v>
      </c>
      <c r="J2" s="8" t="s">
        <v>45</v>
      </c>
      <c r="K2" s="8" t="s">
        <v>46</v>
      </c>
    </row>
    <row r="3" spans="1:12" ht="15" thickBot="1" x14ac:dyDescent="0.35">
      <c r="A3" s="9" t="s">
        <v>4</v>
      </c>
      <c r="B3" s="9" t="s">
        <v>6</v>
      </c>
      <c r="C3" s="10">
        <v>6.12</v>
      </c>
      <c r="D3" s="10">
        <v>5.9</v>
      </c>
      <c r="E3" s="10">
        <v>6.34</v>
      </c>
      <c r="G3" s="11" t="s">
        <v>29</v>
      </c>
      <c r="H3" s="4" t="s">
        <v>37</v>
      </c>
      <c r="I3" s="4" t="s">
        <v>55</v>
      </c>
      <c r="J3" s="4" t="s">
        <v>56</v>
      </c>
      <c r="K3" s="4" t="s">
        <v>57</v>
      </c>
    </row>
    <row r="4" spans="1:12" ht="15" thickBot="1" x14ac:dyDescent="0.35">
      <c r="A4" s="9" t="s">
        <v>4</v>
      </c>
      <c r="B4" s="9" t="s">
        <v>7</v>
      </c>
      <c r="C4" s="10">
        <v>8</v>
      </c>
      <c r="D4" s="10">
        <v>7.61</v>
      </c>
      <c r="E4" s="10">
        <v>8.39</v>
      </c>
      <c r="G4" s="11" t="s">
        <v>30</v>
      </c>
      <c r="H4" s="8" t="s">
        <v>58</v>
      </c>
      <c r="I4" s="8" t="s">
        <v>59</v>
      </c>
      <c r="J4" s="8" t="s">
        <v>60</v>
      </c>
      <c r="K4" s="8" t="s">
        <v>61</v>
      </c>
    </row>
    <row r="5" spans="1:12" x14ac:dyDescent="0.3">
      <c r="A5" s="9" t="s">
        <v>4</v>
      </c>
      <c r="B5" s="9" t="s">
        <v>8</v>
      </c>
      <c r="C5" s="10">
        <v>1.48</v>
      </c>
      <c r="D5" s="10">
        <v>1.28</v>
      </c>
      <c r="E5" s="10">
        <v>1.68</v>
      </c>
      <c r="G5" s="11" t="s">
        <v>31</v>
      </c>
      <c r="H5" s="6" t="s">
        <v>43</v>
      </c>
      <c r="I5" s="6" t="s">
        <v>62</v>
      </c>
      <c r="J5" s="6" t="s">
        <v>45</v>
      </c>
      <c r="K5" s="6" t="s">
        <v>63</v>
      </c>
    </row>
    <row r="6" spans="1:12" ht="15" thickBot="1" x14ac:dyDescent="0.35">
      <c r="A6" t="s">
        <v>29</v>
      </c>
      <c r="B6" s="9" t="s">
        <v>5</v>
      </c>
      <c r="C6" s="10">
        <v>0.06</v>
      </c>
      <c r="D6" s="10">
        <v>0.05</v>
      </c>
      <c r="E6" s="10">
        <v>0.08</v>
      </c>
      <c r="G6" s="11" t="s">
        <v>32</v>
      </c>
      <c r="H6" s="16" t="s">
        <v>64</v>
      </c>
      <c r="I6" s="16" t="s">
        <v>44</v>
      </c>
      <c r="J6" s="16" t="s">
        <v>45</v>
      </c>
      <c r="K6" s="16" t="s">
        <v>65</v>
      </c>
    </row>
    <row r="7" spans="1:12" x14ac:dyDescent="0.3">
      <c r="A7" t="s">
        <v>29</v>
      </c>
      <c r="B7" s="9" t="s">
        <v>6</v>
      </c>
      <c r="C7" s="10">
        <v>6.16</v>
      </c>
      <c r="D7" s="10">
        <v>5.95</v>
      </c>
      <c r="E7" s="10">
        <v>6.39</v>
      </c>
      <c r="G7" s="11" t="s">
        <v>41</v>
      </c>
      <c r="H7" s="6" t="s">
        <v>52</v>
      </c>
      <c r="I7" s="6" t="s">
        <v>44</v>
      </c>
      <c r="J7" s="6" t="s">
        <v>45</v>
      </c>
      <c r="K7" s="6" t="s">
        <v>46</v>
      </c>
    </row>
    <row r="8" spans="1:12" ht="15" thickBot="1" x14ac:dyDescent="0.35">
      <c r="A8" t="s">
        <v>29</v>
      </c>
      <c r="B8" s="9" t="s">
        <v>7</v>
      </c>
      <c r="C8" s="10">
        <v>8.09</v>
      </c>
      <c r="D8" s="10">
        <v>7.69</v>
      </c>
      <c r="E8" s="10">
        <v>8.49</v>
      </c>
      <c r="G8" s="11" t="s">
        <v>42</v>
      </c>
      <c r="H8" s="8" t="s">
        <v>51</v>
      </c>
      <c r="I8" s="8" t="s">
        <v>44</v>
      </c>
      <c r="J8" s="8" t="s">
        <v>45</v>
      </c>
      <c r="K8" s="8" t="s">
        <v>46</v>
      </c>
    </row>
    <row r="9" spans="1:12" x14ac:dyDescent="0.3">
      <c r="A9" t="s">
        <v>29</v>
      </c>
      <c r="B9" s="9" t="s">
        <v>8</v>
      </c>
      <c r="C9" s="10">
        <v>1.74</v>
      </c>
      <c r="D9" s="10">
        <v>1.52</v>
      </c>
      <c r="E9" s="10">
        <v>1.96</v>
      </c>
      <c r="G9" s="11" t="s">
        <v>47</v>
      </c>
      <c r="H9" s="6" t="s">
        <v>53</v>
      </c>
      <c r="I9" s="6" t="s">
        <v>44</v>
      </c>
      <c r="J9" s="6" t="s">
        <v>45</v>
      </c>
      <c r="K9" s="6" t="s">
        <v>46</v>
      </c>
    </row>
    <row r="10" spans="1:12" ht="15" thickBot="1" x14ac:dyDescent="0.35">
      <c r="A10" t="s">
        <v>30</v>
      </c>
      <c r="B10" s="9" t="s">
        <v>5</v>
      </c>
      <c r="C10" s="10">
        <v>0.1</v>
      </c>
      <c r="D10" s="10">
        <v>0.08</v>
      </c>
      <c r="E10" s="10">
        <v>0.13</v>
      </c>
      <c r="G10" s="11" t="s">
        <v>48</v>
      </c>
      <c r="H10" s="8" t="s">
        <v>53</v>
      </c>
      <c r="I10" s="8" t="s">
        <v>44</v>
      </c>
      <c r="J10" s="8" t="s">
        <v>45</v>
      </c>
      <c r="K10" s="8" t="s">
        <v>46</v>
      </c>
    </row>
    <row r="11" spans="1:12" x14ac:dyDescent="0.3">
      <c r="A11" t="s">
        <v>30</v>
      </c>
      <c r="B11" s="9" t="s">
        <v>6</v>
      </c>
      <c r="C11" s="10">
        <v>6.07</v>
      </c>
      <c r="D11" s="10">
        <v>5.86</v>
      </c>
      <c r="E11" s="10">
        <v>6.28</v>
      </c>
    </row>
    <row r="12" spans="1:12" x14ac:dyDescent="0.3">
      <c r="A12" t="s">
        <v>30</v>
      </c>
      <c r="B12" s="9" t="s">
        <v>7</v>
      </c>
      <c r="C12" s="10">
        <v>7.9</v>
      </c>
      <c r="D12" s="10">
        <v>7.51</v>
      </c>
      <c r="E12" s="10">
        <v>8.2899999999999991</v>
      </c>
    </row>
    <row r="13" spans="1:12" x14ac:dyDescent="0.3">
      <c r="A13" t="s">
        <v>30</v>
      </c>
      <c r="B13" s="9" t="s">
        <v>8</v>
      </c>
      <c r="C13" s="10">
        <v>1.21</v>
      </c>
      <c r="D13" s="10">
        <v>1.04</v>
      </c>
      <c r="E13" s="10">
        <v>1.38</v>
      </c>
    </row>
    <row r="14" spans="1:12" x14ac:dyDescent="0.3">
      <c r="A14" t="s">
        <v>31</v>
      </c>
      <c r="B14" s="9" t="s">
        <v>5</v>
      </c>
      <c r="C14" s="10">
        <v>0.09</v>
      </c>
      <c r="D14" s="10">
        <v>7.0000000000000007E-2</v>
      </c>
      <c r="E14" s="10">
        <v>0.11</v>
      </c>
      <c r="G14" s="14" t="s">
        <v>24</v>
      </c>
      <c r="H14" s="15" t="s">
        <v>10</v>
      </c>
      <c r="I14" s="15" t="s">
        <v>11</v>
      </c>
      <c r="J14" s="15" t="s">
        <v>12</v>
      </c>
    </row>
    <row r="15" spans="1:12" x14ac:dyDescent="0.3">
      <c r="A15" t="s">
        <v>31</v>
      </c>
      <c r="B15" s="9" t="s">
        <v>6</v>
      </c>
      <c r="C15" s="10">
        <v>6.13</v>
      </c>
      <c r="D15" s="10">
        <v>5.91</v>
      </c>
      <c r="E15" s="10">
        <v>6.35</v>
      </c>
      <c r="G15" s="14" t="s">
        <v>13</v>
      </c>
      <c r="H15" s="7">
        <v>18.8</v>
      </c>
      <c r="I15" s="15">
        <f>H15+(H15*5%)</f>
        <v>19.740000000000002</v>
      </c>
      <c r="J15" s="7">
        <f>H15-(H15*5%)</f>
        <v>17.86</v>
      </c>
      <c r="L15">
        <f>9.13/12</f>
        <v>0.76083333333333336</v>
      </c>
    </row>
    <row r="16" spans="1:12" x14ac:dyDescent="0.3">
      <c r="A16" t="s">
        <v>31</v>
      </c>
      <c r="B16" s="9" t="s">
        <v>7</v>
      </c>
      <c r="C16" s="10">
        <v>8</v>
      </c>
      <c r="D16" s="10">
        <v>7.61</v>
      </c>
      <c r="E16" s="10">
        <v>8.39</v>
      </c>
      <c r="G16" s="14" t="s">
        <v>16</v>
      </c>
      <c r="H16" s="7">
        <v>1.82</v>
      </c>
      <c r="I16" s="7">
        <f>H16+(H16*5%)</f>
        <v>1.911</v>
      </c>
      <c r="J16" s="7">
        <f>H16-(H16*5%)</f>
        <v>1.7290000000000001</v>
      </c>
    </row>
    <row r="17" spans="1:12" x14ac:dyDescent="0.3">
      <c r="A17" t="s">
        <v>31</v>
      </c>
      <c r="B17" s="9" t="s">
        <v>8</v>
      </c>
      <c r="C17" s="10">
        <v>1.36</v>
      </c>
      <c r="D17" s="10">
        <v>1.17</v>
      </c>
      <c r="E17" s="10">
        <v>1.55</v>
      </c>
      <c r="G17" s="14" t="s">
        <v>14</v>
      </c>
      <c r="H17" s="7">
        <v>11.853607778243843</v>
      </c>
      <c r="I17" s="7">
        <f t="shared" ref="I17:I18" si="0">H17+(H17*5%)</f>
        <v>12.446288167156036</v>
      </c>
      <c r="J17" s="7">
        <f t="shared" ref="J17:J18" si="1">H17-(H17*5%)</f>
        <v>11.26092738933165</v>
      </c>
    </row>
    <row r="18" spans="1:12" x14ac:dyDescent="0.3">
      <c r="A18" t="s">
        <v>32</v>
      </c>
      <c r="B18" s="9" t="s">
        <v>5</v>
      </c>
      <c r="C18" s="10">
        <v>7.0000000000000007E-2</v>
      </c>
      <c r="D18" s="10">
        <v>0.05</v>
      </c>
      <c r="E18" s="10">
        <v>0.09</v>
      </c>
      <c r="G18" s="14" t="s">
        <v>15</v>
      </c>
      <c r="H18" s="7">
        <f>H17*1.1</f>
        <v>13.038968556068228</v>
      </c>
      <c r="I18" s="7">
        <f t="shared" si="0"/>
        <v>13.69091698387164</v>
      </c>
      <c r="J18" s="7">
        <f t="shared" si="1"/>
        <v>12.387020128264817</v>
      </c>
    </row>
    <row r="19" spans="1:12" x14ac:dyDescent="0.3">
      <c r="A19" t="s">
        <v>32</v>
      </c>
      <c r="B19" s="9" t="s">
        <v>6</v>
      </c>
      <c r="C19" s="10">
        <v>6.12</v>
      </c>
      <c r="D19" s="10">
        <v>5.9</v>
      </c>
      <c r="E19" s="10">
        <v>6.34</v>
      </c>
      <c r="G19" s="14" t="s">
        <v>17</v>
      </c>
      <c r="H19" s="7">
        <v>6.78</v>
      </c>
      <c r="I19" s="7">
        <f>H19+(H19*5%)</f>
        <v>7.1190000000000007</v>
      </c>
      <c r="J19" s="7">
        <f>H19-(H19*5%)</f>
        <v>6.4409999999999998</v>
      </c>
    </row>
    <row r="20" spans="1:12" x14ac:dyDescent="0.3">
      <c r="A20" t="s">
        <v>32</v>
      </c>
      <c r="B20" s="9" t="s">
        <v>7</v>
      </c>
      <c r="C20" s="10">
        <v>8</v>
      </c>
      <c r="D20" s="10">
        <v>7.61</v>
      </c>
      <c r="E20" s="10">
        <v>8.39</v>
      </c>
    </row>
    <row r="21" spans="1:12" x14ac:dyDescent="0.3">
      <c r="A21" t="s">
        <v>32</v>
      </c>
      <c r="B21" s="9" t="s">
        <v>8</v>
      </c>
      <c r="C21" s="10">
        <v>1.61</v>
      </c>
      <c r="D21" s="10">
        <v>1.5</v>
      </c>
      <c r="E21" s="10">
        <v>1.92</v>
      </c>
    </row>
    <row r="22" spans="1:12" x14ac:dyDescent="0.3">
      <c r="A22" s="11" t="s">
        <v>41</v>
      </c>
      <c r="B22" s="9" t="s">
        <v>5</v>
      </c>
      <c r="C22" s="10">
        <v>0.06</v>
      </c>
      <c r="D22" s="10">
        <v>0.04</v>
      </c>
      <c r="E22" s="10">
        <v>0.08</v>
      </c>
    </row>
    <row r="23" spans="1:12" x14ac:dyDescent="0.3">
      <c r="A23" s="11" t="s">
        <v>41</v>
      </c>
      <c r="B23" s="9" t="s">
        <v>6</v>
      </c>
      <c r="C23" s="10">
        <v>6.12</v>
      </c>
      <c r="D23" s="10">
        <v>5.9</v>
      </c>
      <c r="E23" s="10">
        <v>6.34</v>
      </c>
    </row>
    <row r="24" spans="1:12" x14ac:dyDescent="0.3">
      <c r="A24" s="11" t="s">
        <v>41</v>
      </c>
      <c r="B24" s="9" t="s">
        <v>7</v>
      </c>
      <c r="C24" s="10">
        <v>8</v>
      </c>
      <c r="D24" s="10">
        <v>7.61</v>
      </c>
      <c r="E24" s="10">
        <v>8.39</v>
      </c>
    </row>
    <row r="25" spans="1:12" x14ac:dyDescent="0.3">
      <c r="A25" s="11" t="s">
        <v>41</v>
      </c>
      <c r="B25" s="9" t="s">
        <v>8</v>
      </c>
      <c r="C25" s="10">
        <v>1.48</v>
      </c>
      <c r="D25" s="10">
        <v>1.28</v>
      </c>
      <c r="E25" s="10">
        <v>1.68</v>
      </c>
    </row>
    <row r="26" spans="1:12" x14ac:dyDescent="0.3">
      <c r="A26" s="11" t="s">
        <v>42</v>
      </c>
      <c r="B26" s="9" t="s">
        <v>5</v>
      </c>
      <c r="C26" s="10">
        <v>0.1</v>
      </c>
      <c r="D26" s="10">
        <v>0.08</v>
      </c>
      <c r="E26" s="10">
        <v>0.12</v>
      </c>
      <c r="I26" s="6" t="s">
        <v>24</v>
      </c>
      <c r="J26" s="6" t="s">
        <v>10</v>
      </c>
      <c r="K26" s="6" t="s">
        <v>11</v>
      </c>
      <c r="L26" t="s">
        <v>12</v>
      </c>
    </row>
    <row r="27" spans="1:12" x14ac:dyDescent="0.3">
      <c r="A27" s="11" t="s">
        <v>42</v>
      </c>
      <c r="B27" s="9" t="s">
        <v>6</v>
      </c>
      <c r="C27" s="10">
        <v>6.12</v>
      </c>
      <c r="D27" s="10">
        <v>5.9</v>
      </c>
      <c r="E27" s="10">
        <v>6.34</v>
      </c>
      <c r="I27" s="6" t="s">
        <v>13</v>
      </c>
      <c r="J27" s="17">
        <v>18.8</v>
      </c>
      <c r="K27" s="17">
        <v>19.740000000000002</v>
      </c>
      <c r="L27" s="1">
        <v>17.86</v>
      </c>
    </row>
    <row r="28" spans="1:12" x14ac:dyDescent="0.3">
      <c r="A28" s="11" t="s">
        <v>42</v>
      </c>
      <c r="B28" s="9" t="s">
        <v>7</v>
      </c>
      <c r="C28" s="10">
        <v>8</v>
      </c>
      <c r="D28" s="10">
        <v>7.61</v>
      </c>
      <c r="E28" s="10">
        <v>8.39</v>
      </c>
      <c r="I28" s="6" t="s">
        <v>73</v>
      </c>
      <c r="J28" s="17">
        <v>11.853607778243843</v>
      </c>
      <c r="K28" s="17">
        <v>12.446288167156036</v>
      </c>
      <c r="L28" s="1">
        <v>11.26092738933165</v>
      </c>
    </row>
    <row r="29" spans="1:12" x14ac:dyDescent="0.3">
      <c r="A29" s="11" t="s">
        <v>42</v>
      </c>
      <c r="B29" s="9" t="s">
        <v>8</v>
      </c>
      <c r="C29" s="10">
        <v>1.48</v>
      </c>
      <c r="D29" s="10">
        <v>1.28</v>
      </c>
      <c r="E29" s="10">
        <v>1.68</v>
      </c>
      <c r="I29" s="6" t="s">
        <v>74</v>
      </c>
      <c r="J29" s="17">
        <v>13.038968556068228</v>
      </c>
      <c r="K29" s="17">
        <v>13.69091698387164</v>
      </c>
      <c r="L29" s="1">
        <v>12.387020128264817</v>
      </c>
    </row>
    <row r="30" spans="1:12" x14ac:dyDescent="0.3">
      <c r="A30" s="11" t="s">
        <v>47</v>
      </c>
      <c r="B30" s="9" t="s">
        <v>5</v>
      </c>
      <c r="C30" s="10">
        <v>0.08</v>
      </c>
      <c r="D30" s="10">
        <v>0.06</v>
      </c>
      <c r="E30" s="10">
        <v>0.1</v>
      </c>
      <c r="I30" s="6" t="s">
        <v>16</v>
      </c>
      <c r="J30" s="17">
        <v>1.82</v>
      </c>
      <c r="K30" s="17">
        <v>1.911</v>
      </c>
      <c r="L30" s="1">
        <v>1.7290000000000001</v>
      </c>
    </row>
    <row r="31" spans="1:12" x14ac:dyDescent="0.3">
      <c r="A31" s="11" t="s">
        <v>47</v>
      </c>
      <c r="B31" s="9" t="s">
        <v>6</v>
      </c>
      <c r="C31" s="10">
        <v>6.12</v>
      </c>
      <c r="D31" s="10">
        <v>5.9</v>
      </c>
      <c r="E31" s="10">
        <v>6.34</v>
      </c>
      <c r="I31" s="6" t="s">
        <v>17</v>
      </c>
      <c r="J31" s="17">
        <v>6.78</v>
      </c>
      <c r="K31" s="17">
        <v>7.1190000000000007</v>
      </c>
      <c r="L31" s="1">
        <v>6.4409999999999998</v>
      </c>
    </row>
    <row r="32" spans="1:12" x14ac:dyDescent="0.3">
      <c r="A32" s="11" t="s">
        <v>47</v>
      </c>
      <c r="B32" s="9" t="s">
        <v>7</v>
      </c>
      <c r="C32" s="10">
        <v>8</v>
      </c>
      <c r="D32" s="10">
        <v>7.61</v>
      </c>
      <c r="E32" s="10">
        <v>8.39</v>
      </c>
    </row>
    <row r="33" spans="1:5" x14ac:dyDescent="0.3">
      <c r="A33" s="11" t="s">
        <v>47</v>
      </c>
      <c r="B33" s="9" t="s">
        <v>8</v>
      </c>
      <c r="C33" s="10">
        <v>1.48</v>
      </c>
      <c r="D33" s="10">
        <v>1.28</v>
      </c>
      <c r="E33" s="10">
        <v>1.68</v>
      </c>
    </row>
    <row r="34" spans="1:5" x14ac:dyDescent="0.3">
      <c r="A34" s="11" t="s">
        <v>48</v>
      </c>
      <c r="B34" s="9" t="s">
        <v>5</v>
      </c>
      <c r="C34" s="10">
        <v>0.08</v>
      </c>
      <c r="D34" s="10">
        <v>0.06</v>
      </c>
      <c r="E34" s="10">
        <v>0.1</v>
      </c>
    </row>
    <row r="35" spans="1:5" x14ac:dyDescent="0.3">
      <c r="A35" s="11" t="s">
        <v>48</v>
      </c>
      <c r="B35" s="9" t="s">
        <v>6</v>
      </c>
      <c r="C35" s="10">
        <v>6.12</v>
      </c>
      <c r="D35" s="10">
        <v>5.9</v>
      </c>
      <c r="E35" s="10">
        <v>6.34</v>
      </c>
    </row>
    <row r="36" spans="1:5" x14ac:dyDescent="0.3">
      <c r="A36" s="11" t="s">
        <v>48</v>
      </c>
      <c r="B36" s="9" t="s">
        <v>7</v>
      </c>
      <c r="C36" s="10">
        <v>8</v>
      </c>
      <c r="D36" s="10">
        <v>7.61</v>
      </c>
      <c r="E36" s="10">
        <v>8.39</v>
      </c>
    </row>
    <row r="37" spans="1:5" x14ac:dyDescent="0.3">
      <c r="A37" s="11" t="s">
        <v>48</v>
      </c>
      <c r="B37" s="9" t="s">
        <v>8</v>
      </c>
      <c r="C37" s="10">
        <v>1.48</v>
      </c>
      <c r="D37" s="10">
        <v>1.28</v>
      </c>
      <c r="E37" s="10">
        <v>1.68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zoomScaleNormal="100" workbookViewId="0">
      <selection activeCell="B1" sqref="B1:B1048576"/>
    </sheetView>
  </sheetViews>
  <sheetFormatPr defaultRowHeight="14.4" x14ac:dyDescent="0.3"/>
  <cols>
    <col min="1" max="1" width="7.44140625" style="9" bestFit="1" customWidth="1"/>
    <col min="2" max="2" width="7.44140625" style="9" customWidth="1"/>
    <col min="3" max="3" width="4.6640625" style="10" bestFit="1" customWidth="1"/>
    <col min="4" max="4" width="5.44140625" style="10" bestFit="1" customWidth="1"/>
    <col min="5" max="6" width="5" style="10" bestFit="1" customWidth="1"/>
  </cols>
  <sheetData>
    <row r="1" spans="1:6" x14ac:dyDescent="0.3">
      <c r="A1" s="9" t="s">
        <v>9</v>
      </c>
      <c r="B1" s="9" t="s">
        <v>54</v>
      </c>
      <c r="C1" s="9" t="s">
        <v>24</v>
      </c>
      <c r="D1" s="10" t="s">
        <v>1</v>
      </c>
      <c r="E1" s="10" t="s">
        <v>2</v>
      </c>
      <c r="F1" s="10" t="s">
        <v>3</v>
      </c>
    </row>
    <row r="2" spans="1:6" x14ac:dyDescent="0.3">
      <c r="A2" s="9" t="s">
        <v>4</v>
      </c>
      <c r="B2" s="9">
        <v>1</v>
      </c>
      <c r="C2" s="9" t="s">
        <v>5</v>
      </c>
      <c r="D2" s="10">
        <v>0.08</v>
      </c>
      <c r="E2" s="10">
        <v>0.06</v>
      </c>
      <c r="F2" s="10">
        <v>0.1</v>
      </c>
    </row>
    <row r="3" spans="1:6" x14ac:dyDescent="0.3">
      <c r="A3" s="9" t="s">
        <v>4</v>
      </c>
      <c r="B3" s="9">
        <v>1</v>
      </c>
      <c r="C3" s="9" t="s">
        <v>6</v>
      </c>
      <c r="D3" s="10">
        <v>6.12</v>
      </c>
      <c r="E3" s="10">
        <v>5.9</v>
      </c>
      <c r="F3" s="10">
        <v>6.34</v>
      </c>
    </row>
    <row r="4" spans="1:6" x14ac:dyDescent="0.3">
      <c r="A4" s="9" t="s">
        <v>4</v>
      </c>
      <c r="B4" s="9">
        <v>1</v>
      </c>
      <c r="C4" s="9" t="s">
        <v>7</v>
      </c>
      <c r="D4" s="10">
        <v>8</v>
      </c>
      <c r="E4" s="10">
        <v>7.61</v>
      </c>
      <c r="F4" s="10">
        <v>8.39</v>
      </c>
    </row>
    <row r="5" spans="1:6" x14ac:dyDescent="0.3">
      <c r="A5" s="9" t="s">
        <v>4</v>
      </c>
      <c r="B5" s="9">
        <v>1</v>
      </c>
      <c r="C5" s="9" t="s">
        <v>8</v>
      </c>
      <c r="D5" s="10">
        <v>1.48</v>
      </c>
      <c r="E5" s="10">
        <v>1.28</v>
      </c>
      <c r="F5" s="10">
        <v>1.68</v>
      </c>
    </row>
    <row r="6" spans="1:6" x14ac:dyDescent="0.3">
      <c r="A6" t="s">
        <v>29</v>
      </c>
      <c r="B6" s="9">
        <v>2</v>
      </c>
      <c r="C6" s="9" t="s">
        <v>5</v>
      </c>
      <c r="D6" s="10">
        <v>0.05</v>
      </c>
      <c r="E6" s="10">
        <v>0.04</v>
      </c>
      <c r="F6" s="10">
        <v>0.06</v>
      </c>
    </row>
    <row r="7" spans="1:6" x14ac:dyDescent="0.3">
      <c r="A7" t="s">
        <v>29</v>
      </c>
      <c r="B7" s="9">
        <v>2</v>
      </c>
      <c r="C7" s="9" t="s">
        <v>6</v>
      </c>
      <c r="D7" s="10">
        <v>6.21</v>
      </c>
      <c r="E7" s="10">
        <v>5.99</v>
      </c>
      <c r="F7" s="10">
        <v>6.43</v>
      </c>
    </row>
    <row r="8" spans="1:6" x14ac:dyDescent="0.3">
      <c r="A8" t="s">
        <v>29</v>
      </c>
      <c r="B8" s="9">
        <v>2</v>
      </c>
      <c r="C8" s="9" t="s">
        <v>7</v>
      </c>
      <c r="D8" s="10">
        <v>8.18</v>
      </c>
      <c r="E8" s="10">
        <v>7.76</v>
      </c>
      <c r="F8" s="10">
        <v>8.56</v>
      </c>
    </row>
    <row r="9" spans="1:6" x14ac:dyDescent="0.3">
      <c r="A9" t="s">
        <v>29</v>
      </c>
      <c r="B9" s="9">
        <v>2</v>
      </c>
      <c r="C9" s="9" t="s">
        <v>8</v>
      </c>
      <c r="D9" s="10">
        <v>2.0099999999999998</v>
      </c>
      <c r="E9" s="10">
        <v>1.77</v>
      </c>
      <c r="F9" s="10">
        <v>2.25</v>
      </c>
    </row>
    <row r="10" spans="1:6" x14ac:dyDescent="0.3">
      <c r="A10" t="s">
        <v>30</v>
      </c>
      <c r="B10" s="9">
        <v>3</v>
      </c>
      <c r="C10" s="9" t="s">
        <v>5</v>
      </c>
      <c r="D10" s="10">
        <v>0.14000000000000001</v>
      </c>
      <c r="E10" s="10">
        <v>0.11</v>
      </c>
      <c r="F10" s="10">
        <v>0.18</v>
      </c>
    </row>
    <row r="11" spans="1:6" x14ac:dyDescent="0.3">
      <c r="A11" t="s">
        <v>30</v>
      </c>
      <c r="B11" s="9">
        <v>3</v>
      </c>
      <c r="C11" s="9" t="s">
        <v>6</v>
      </c>
      <c r="D11" s="10">
        <v>6.01</v>
      </c>
      <c r="E11" s="10">
        <v>5.8</v>
      </c>
      <c r="F11" s="10">
        <v>6.22</v>
      </c>
    </row>
    <row r="12" spans="1:6" x14ac:dyDescent="0.3">
      <c r="A12" t="s">
        <v>30</v>
      </c>
      <c r="B12" s="9">
        <v>3</v>
      </c>
      <c r="C12" s="9" t="s">
        <v>7</v>
      </c>
      <c r="D12" s="10">
        <v>7.79</v>
      </c>
      <c r="E12" s="10">
        <v>7.41</v>
      </c>
      <c r="F12" s="10">
        <v>8.17</v>
      </c>
    </row>
    <row r="13" spans="1:6" x14ac:dyDescent="0.3">
      <c r="A13" t="s">
        <v>30</v>
      </c>
      <c r="B13" s="9">
        <v>3</v>
      </c>
      <c r="C13" s="9" t="s">
        <v>8</v>
      </c>
      <c r="D13" s="10">
        <v>0.95</v>
      </c>
      <c r="E13" s="10">
        <v>0.8</v>
      </c>
      <c r="F13" s="10">
        <v>1.1000000000000001</v>
      </c>
    </row>
    <row r="14" spans="1:6" x14ac:dyDescent="0.3">
      <c r="A14" t="s">
        <v>31</v>
      </c>
      <c r="B14" s="9">
        <v>4</v>
      </c>
      <c r="C14" s="9" t="s">
        <v>5</v>
      </c>
      <c r="D14" s="10">
        <v>0.1</v>
      </c>
      <c r="E14" s="10">
        <v>7.0000000000000007E-2</v>
      </c>
      <c r="F14" s="10">
        <v>0.12</v>
      </c>
    </row>
    <row r="15" spans="1:6" x14ac:dyDescent="0.3">
      <c r="A15" t="s">
        <v>31</v>
      </c>
      <c r="B15" s="9">
        <v>4</v>
      </c>
      <c r="C15" s="9" t="s">
        <v>6</v>
      </c>
      <c r="D15" s="10">
        <v>6.14</v>
      </c>
      <c r="E15" s="10">
        <v>5.92</v>
      </c>
      <c r="F15" s="10">
        <v>6.36</v>
      </c>
    </row>
    <row r="16" spans="1:6" x14ac:dyDescent="0.3">
      <c r="A16" t="s">
        <v>31</v>
      </c>
      <c r="B16" s="9">
        <v>4</v>
      </c>
      <c r="C16" s="9" t="s">
        <v>7</v>
      </c>
      <c r="D16" s="10">
        <v>8.01</v>
      </c>
      <c r="E16" s="10">
        <v>7.62</v>
      </c>
      <c r="F16" s="10">
        <v>8.4</v>
      </c>
    </row>
    <row r="17" spans="1:6" x14ac:dyDescent="0.3">
      <c r="A17" t="s">
        <v>31</v>
      </c>
      <c r="B17" s="9">
        <v>4</v>
      </c>
      <c r="C17" s="9" t="s">
        <v>8</v>
      </c>
      <c r="D17" s="10">
        <v>1.26</v>
      </c>
      <c r="E17" s="10">
        <v>1.08</v>
      </c>
      <c r="F17" s="10">
        <v>1.44</v>
      </c>
    </row>
    <row r="18" spans="1:6" x14ac:dyDescent="0.3">
      <c r="A18" t="s">
        <v>32</v>
      </c>
      <c r="B18" s="9">
        <v>5</v>
      </c>
      <c r="C18" s="9" t="s">
        <v>5</v>
      </c>
      <c r="D18" s="10">
        <v>0.06</v>
      </c>
      <c r="E18" s="10">
        <v>0.05</v>
      </c>
      <c r="F18" s="10">
        <v>0.08</v>
      </c>
    </row>
    <row r="19" spans="1:6" x14ac:dyDescent="0.3">
      <c r="A19" t="s">
        <v>32</v>
      </c>
      <c r="B19" s="9">
        <v>5</v>
      </c>
      <c r="C19" s="9" t="s">
        <v>6</v>
      </c>
      <c r="D19" s="10">
        <v>6.11</v>
      </c>
      <c r="E19" s="10">
        <v>5.89</v>
      </c>
      <c r="F19" s="10">
        <v>6.33</v>
      </c>
    </row>
    <row r="20" spans="1:6" x14ac:dyDescent="0.3">
      <c r="A20" t="s">
        <v>32</v>
      </c>
      <c r="B20" s="9">
        <v>5</v>
      </c>
      <c r="C20" s="9" t="s">
        <v>7</v>
      </c>
      <c r="D20" s="10">
        <v>8</v>
      </c>
      <c r="E20" s="10">
        <v>7.6</v>
      </c>
      <c r="F20" s="10">
        <v>8.4</v>
      </c>
    </row>
    <row r="21" spans="1:6" x14ac:dyDescent="0.3">
      <c r="A21" t="s">
        <v>32</v>
      </c>
      <c r="B21" s="9">
        <v>5</v>
      </c>
      <c r="C21" s="9" t="s">
        <v>8</v>
      </c>
      <c r="D21" s="10">
        <v>1.75</v>
      </c>
      <c r="E21" s="10">
        <v>1.53</v>
      </c>
      <c r="F21" s="10">
        <v>1.97</v>
      </c>
    </row>
    <row r="22" spans="1:6" x14ac:dyDescent="0.3">
      <c r="A22" s="11" t="s">
        <v>41</v>
      </c>
      <c r="B22" s="11">
        <v>6</v>
      </c>
      <c r="C22" s="9" t="s">
        <v>5</v>
      </c>
      <c r="D22" s="10">
        <v>0.06</v>
      </c>
      <c r="E22" s="10">
        <v>0.04</v>
      </c>
      <c r="F22" s="10">
        <v>0.08</v>
      </c>
    </row>
    <row r="23" spans="1:6" x14ac:dyDescent="0.3">
      <c r="A23" s="11" t="s">
        <v>41</v>
      </c>
      <c r="B23" s="11">
        <v>6</v>
      </c>
      <c r="C23" s="9" t="s">
        <v>6</v>
      </c>
      <c r="D23" s="10">
        <v>6.12</v>
      </c>
      <c r="E23" s="10">
        <v>5.9</v>
      </c>
      <c r="F23" s="10">
        <v>6.34</v>
      </c>
    </row>
    <row r="24" spans="1:6" x14ac:dyDescent="0.3">
      <c r="A24" s="11" t="s">
        <v>41</v>
      </c>
      <c r="B24" s="11">
        <v>6</v>
      </c>
      <c r="C24" s="9" t="s">
        <v>7</v>
      </c>
      <c r="D24" s="10">
        <v>8</v>
      </c>
      <c r="E24" s="10">
        <v>7.61</v>
      </c>
      <c r="F24" s="10">
        <v>8.39</v>
      </c>
    </row>
    <row r="25" spans="1:6" x14ac:dyDescent="0.3">
      <c r="A25" s="11" t="s">
        <v>41</v>
      </c>
      <c r="B25" s="11">
        <v>6</v>
      </c>
      <c r="C25" s="9" t="s">
        <v>8</v>
      </c>
      <c r="D25" s="10">
        <v>1.48</v>
      </c>
      <c r="E25" s="10">
        <v>1.28</v>
      </c>
      <c r="F25" s="10">
        <v>1.68</v>
      </c>
    </row>
    <row r="26" spans="1:6" x14ac:dyDescent="0.3">
      <c r="A26" s="11" t="s">
        <v>42</v>
      </c>
      <c r="B26" s="11">
        <v>7</v>
      </c>
      <c r="C26" s="9" t="s">
        <v>5</v>
      </c>
      <c r="D26" s="10">
        <v>0.1</v>
      </c>
      <c r="E26" s="10">
        <v>0.08</v>
      </c>
      <c r="F26" s="10">
        <v>0.12</v>
      </c>
    </row>
    <row r="27" spans="1:6" x14ac:dyDescent="0.3">
      <c r="A27" s="11" t="s">
        <v>42</v>
      </c>
      <c r="B27" s="11">
        <v>7</v>
      </c>
      <c r="C27" s="9" t="s">
        <v>6</v>
      </c>
      <c r="D27" s="10">
        <v>6.12</v>
      </c>
      <c r="E27" s="10">
        <v>5.9</v>
      </c>
      <c r="F27" s="10">
        <v>6.34</v>
      </c>
    </row>
    <row r="28" spans="1:6" x14ac:dyDescent="0.3">
      <c r="A28" s="11" t="s">
        <v>42</v>
      </c>
      <c r="B28" s="11">
        <v>7</v>
      </c>
      <c r="C28" s="9" t="s">
        <v>7</v>
      </c>
      <c r="D28" s="10">
        <v>8</v>
      </c>
      <c r="E28" s="10">
        <v>7.61</v>
      </c>
      <c r="F28" s="10">
        <v>8.39</v>
      </c>
    </row>
    <row r="29" spans="1:6" x14ac:dyDescent="0.3">
      <c r="A29" s="11" t="s">
        <v>42</v>
      </c>
      <c r="B29" s="11">
        <v>7</v>
      </c>
      <c r="C29" s="9" t="s">
        <v>8</v>
      </c>
      <c r="D29" s="10">
        <v>1.48</v>
      </c>
      <c r="E29" s="10">
        <v>1.28</v>
      </c>
      <c r="F29" s="10">
        <v>1.68</v>
      </c>
    </row>
    <row r="30" spans="1:6" x14ac:dyDescent="0.3">
      <c r="A30" s="11" t="s">
        <v>47</v>
      </c>
      <c r="B30" s="11">
        <v>8</v>
      </c>
      <c r="C30" s="9" t="s">
        <v>5</v>
      </c>
      <c r="D30" s="10">
        <v>0.08</v>
      </c>
      <c r="E30" s="10">
        <v>0.06</v>
      </c>
      <c r="F30" s="10">
        <v>0.1</v>
      </c>
    </row>
    <row r="31" spans="1:6" x14ac:dyDescent="0.3">
      <c r="A31" s="11" t="s">
        <v>47</v>
      </c>
      <c r="B31" s="11">
        <v>8</v>
      </c>
      <c r="C31" s="9" t="s">
        <v>6</v>
      </c>
      <c r="D31" s="10">
        <v>6.12</v>
      </c>
      <c r="E31" s="10">
        <v>5.9</v>
      </c>
      <c r="F31" s="10">
        <v>6.34</v>
      </c>
    </row>
    <row r="32" spans="1:6" x14ac:dyDescent="0.3">
      <c r="A32" s="11" t="s">
        <v>47</v>
      </c>
      <c r="B32" s="11">
        <v>8</v>
      </c>
      <c r="C32" s="9" t="s">
        <v>7</v>
      </c>
      <c r="D32" s="10">
        <v>8</v>
      </c>
      <c r="E32" s="10">
        <v>7.61</v>
      </c>
      <c r="F32" s="10">
        <v>8.39</v>
      </c>
    </row>
    <row r="33" spans="1:6" x14ac:dyDescent="0.3">
      <c r="A33" s="11" t="s">
        <v>47</v>
      </c>
      <c r="B33" s="11">
        <v>8</v>
      </c>
      <c r="C33" s="9" t="s">
        <v>8</v>
      </c>
      <c r="D33" s="10">
        <v>1.48</v>
      </c>
      <c r="E33" s="10">
        <v>1.28</v>
      </c>
      <c r="F33" s="10">
        <v>1.68</v>
      </c>
    </row>
    <row r="34" spans="1:6" x14ac:dyDescent="0.3">
      <c r="A34" s="11" t="s">
        <v>48</v>
      </c>
      <c r="B34" s="11">
        <v>9</v>
      </c>
      <c r="C34" s="9" t="s">
        <v>5</v>
      </c>
      <c r="D34" s="10">
        <v>0.08</v>
      </c>
      <c r="E34" s="10">
        <v>0.06</v>
      </c>
      <c r="F34" s="10">
        <v>0.1</v>
      </c>
    </row>
    <row r="35" spans="1:6" x14ac:dyDescent="0.3">
      <c r="A35" s="11" t="s">
        <v>48</v>
      </c>
      <c r="B35" s="11">
        <v>9</v>
      </c>
      <c r="C35" s="9" t="s">
        <v>6</v>
      </c>
      <c r="D35" s="10">
        <v>6.12</v>
      </c>
      <c r="E35" s="10">
        <v>5.9</v>
      </c>
      <c r="F35" s="10">
        <v>6.34</v>
      </c>
    </row>
    <row r="36" spans="1:6" x14ac:dyDescent="0.3">
      <c r="A36" s="11" t="s">
        <v>48</v>
      </c>
      <c r="B36" s="11">
        <v>9</v>
      </c>
      <c r="C36" s="9" t="s">
        <v>7</v>
      </c>
      <c r="D36" s="10">
        <v>8</v>
      </c>
      <c r="E36" s="10">
        <v>7.61</v>
      </c>
      <c r="F36" s="10">
        <v>8.39</v>
      </c>
    </row>
    <row r="37" spans="1:6" x14ac:dyDescent="0.3">
      <c r="A37" s="11" t="s">
        <v>48</v>
      </c>
      <c r="B37" s="11">
        <v>9</v>
      </c>
      <c r="C37" s="9" t="s">
        <v>8</v>
      </c>
      <c r="D37" s="10">
        <v>1.48</v>
      </c>
      <c r="E37" s="10">
        <v>1.28</v>
      </c>
      <c r="F37" s="10">
        <v>1.68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F4DF9-F986-494E-BB00-9E4FA98279CD}">
  <dimension ref="A1:K37"/>
  <sheetViews>
    <sheetView zoomScaleNormal="100" workbookViewId="0">
      <selection activeCell="I21" sqref="I21"/>
    </sheetView>
  </sheetViews>
  <sheetFormatPr defaultRowHeight="14.4" x14ac:dyDescent="0.3"/>
  <cols>
    <col min="1" max="1" width="7.44140625" style="9" bestFit="1" customWidth="1"/>
    <col min="2" max="2" width="4.6640625" style="10" bestFit="1" customWidth="1"/>
    <col min="3" max="3" width="5.44140625" style="10" bestFit="1" customWidth="1"/>
    <col min="4" max="5" width="5" style="10" bestFit="1" customWidth="1"/>
    <col min="6" max="6" width="1.21875" customWidth="1"/>
    <col min="7" max="7" width="8.33203125" style="11" customWidth="1"/>
    <col min="8" max="11" width="14.109375" style="6" bestFit="1" customWidth="1"/>
  </cols>
  <sheetData>
    <row r="1" spans="1:11" ht="15" thickBot="1" x14ac:dyDescent="0.35">
      <c r="A1" s="9" t="s">
        <v>9</v>
      </c>
      <c r="B1" s="9" t="s">
        <v>24</v>
      </c>
      <c r="C1" s="10" t="s">
        <v>1</v>
      </c>
      <c r="D1" s="10" t="s">
        <v>2</v>
      </c>
      <c r="E1" s="10" t="s">
        <v>3</v>
      </c>
      <c r="G1" s="11" t="s">
        <v>9</v>
      </c>
      <c r="H1" s="5" t="s">
        <v>5</v>
      </c>
      <c r="I1" s="5" t="s">
        <v>6</v>
      </c>
      <c r="J1" s="5" t="s">
        <v>22</v>
      </c>
      <c r="K1" s="5" t="s">
        <v>23</v>
      </c>
    </row>
    <row r="2" spans="1:11" ht="15" thickBot="1" x14ac:dyDescent="0.35">
      <c r="A2" s="9" t="s">
        <v>4</v>
      </c>
      <c r="B2" s="9" t="s">
        <v>5</v>
      </c>
      <c r="C2" s="10">
        <v>0.08</v>
      </c>
      <c r="D2" s="10">
        <v>0.06</v>
      </c>
      <c r="E2" s="10">
        <v>0.1</v>
      </c>
      <c r="G2" s="11" t="s">
        <v>29</v>
      </c>
      <c r="H2" s="4" t="s">
        <v>18</v>
      </c>
      <c r="I2" s="4" t="s">
        <v>19</v>
      </c>
      <c r="J2" s="4" t="s">
        <v>20</v>
      </c>
      <c r="K2" s="4" t="s">
        <v>21</v>
      </c>
    </row>
    <row r="3" spans="1:11" ht="15" thickBot="1" x14ac:dyDescent="0.35">
      <c r="A3" s="9" t="s">
        <v>4</v>
      </c>
      <c r="B3" s="9" t="s">
        <v>6</v>
      </c>
      <c r="C3" s="10">
        <v>6.12</v>
      </c>
      <c r="D3" s="10">
        <v>5.9</v>
      </c>
      <c r="E3" s="10">
        <v>6.34</v>
      </c>
      <c r="G3" s="11" t="s">
        <v>30</v>
      </c>
      <c r="H3" s="8" t="s">
        <v>25</v>
      </c>
      <c r="I3" s="8" t="s">
        <v>26</v>
      </c>
      <c r="J3" s="8" t="s">
        <v>27</v>
      </c>
      <c r="K3" s="8" t="s">
        <v>28</v>
      </c>
    </row>
    <row r="4" spans="1:11" x14ac:dyDescent="0.3">
      <c r="A4" s="9" t="s">
        <v>4</v>
      </c>
      <c r="B4" s="9" t="s">
        <v>7</v>
      </c>
      <c r="C4" s="10">
        <v>8</v>
      </c>
      <c r="D4" s="10">
        <v>7.61</v>
      </c>
      <c r="E4" s="10">
        <v>8.39</v>
      </c>
      <c r="G4" s="11" t="s">
        <v>31</v>
      </c>
      <c r="H4" s="6" t="s">
        <v>33</v>
      </c>
      <c r="I4" s="6" t="s">
        <v>34</v>
      </c>
      <c r="J4" s="6" t="s">
        <v>35</v>
      </c>
      <c r="K4" s="6" t="s">
        <v>36</v>
      </c>
    </row>
    <row r="5" spans="1:11" ht="15" thickBot="1" x14ac:dyDescent="0.35">
      <c r="A5" s="9" t="s">
        <v>4</v>
      </c>
      <c r="B5" s="9" t="s">
        <v>8</v>
      </c>
      <c r="C5" s="10">
        <v>1.48</v>
      </c>
      <c r="D5" s="10">
        <v>1.28</v>
      </c>
      <c r="E5" s="10">
        <v>1.68</v>
      </c>
      <c r="G5" s="11" t="s">
        <v>32</v>
      </c>
      <c r="H5" s="8" t="s">
        <v>37</v>
      </c>
      <c r="I5" s="8" t="s">
        <v>38</v>
      </c>
      <c r="J5" s="8" t="s">
        <v>39</v>
      </c>
      <c r="K5" s="8" t="s">
        <v>40</v>
      </c>
    </row>
    <row r="6" spans="1:11" x14ac:dyDescent="0.3">
      <c r="A6" t="s">
        <v>29</v>
      </c>
      <c r="B6" s="9" t="s">
        <v>5</v>
      </c>
      <c r="C6" s="10">
        <v>0.05</v>
      </c>
      <c r="D6" s="10">
        <v>0.04</v>
      </c>
      <c r="E6" s="10">
        <v>0.06</v>
      </c>
      <c r="G6" s="11" t="s">
        <v>41</v>
      </c>
      <c r="H6" s="6" t="s">
        <v>52</v>
      </c>
      <c r="I6" s="6" t="s">
        <v>44</v>
      </c>
      <c r="J6" s="6" t="s">
        <v>45</v>
      </c>
      <c r="K6" s="6" t="s">
        <v>46</v>
      </c>
    </row>
    <row r="7" spans="1:11" ht="15" thickBot="1" x14ac:dyDescent="0.35">
      <c r="A7" t="s">
        <v>29</v>
      </c>
      <c r="B7" s="9" t="s">
        <v>6</v>
      </c>
      <c r="C7" s="10">
        <v>6.21</v>
      </c>
      <c r="D7" s="10">
        <v>5.99</v>
      </c>
      <c r="E7" s="10">
        <v>6.43</v>
      </c>
      <c r="G7" s="11" t="s">
        <v>42</v>
      </c>
      <c r="H7" s="8" t="s">
        <v>51</v>
      </c>
      <c r="I7" s="8" t="s">
        <v>44</v>
      </c>
      <c r="J7" s="8" t="s">
        <v>45</v>
      </c>
      <c r="K7" s="8" t="s">
        <v>46</v>
      </c>
    </row>
    <row r="8" spans="1:11" x14ac:dyDescent="0.3">
      <c r="A8" t="s">
        <v>29</v>
      </c>
      <c r="B8" s="9" t="s">
        <v>7</v>
      </c>
      <c r="C8" s="10">
        <v>8.18</v>
      </c>
      <c r="D8" s="10">
        <v>7.76</v>
      </c>
      <c r="E8" s="10">
        <v>8.56</v>
      </c>
      <c r="G8" s="11" t="s">
        <v>47</v>
      </c>
      <c r="H8" s="6" t="s">
        <v>53</v>
      </c>
      <c r="I8" s="6" t="s">
        <v>44</v>
      </c>
      <c r="J8" s="6" t="s">
        <v>45</v>
      </c>
      <c r="K8" s="6" t="s">
        <v>46</v>
      </c>
    </row>
    <row r="9" spans="1:11" ht="15" thickBot="1" x14ac:dyDescent="0.35">
      <c r="A9" t="s">
        <v>29</v>
      </c>
      <c r="B9" s="9" t="s">
        <v>8</v>
      </c>
      <c r="C9" s="10">
        <v>2.0099999999999998</v>
      </c>
      <c r="D9" s="10">
        <v>1.77</v>
      </c>
      <c r="E9" s="10">
        <v>2.25</v>
      </c>
      <c r="G9" s="11" t="s">
        <v>48</v>
      </c>
      <c r="H9" s="8" t="s">
        <v>53</v>
      </c>
      <c r="I9" s="8" t="s">
        <v>44</v>
      </c>
      <c r="J9" s="8" t="s">
        <v>45</v>
      </c>
      <c r="K9" s="8" t="s">
        <v>46</v>
      </c>
    </row>
    <row r="10" spans="1:11" x14ac:dyDescent="0.3">
      <c r="A10" t="s">
        <v>30</v>
      </c>
      <c r="B10" s="9" t="s">
        <v>5</v>
      </c>
      <c r="C10" s="10">
        <v>0.14000000000000001</v>
      </c>
      <c r="D10" s="10">
        <v>0.11</v>
      </c>
      <c r="E10" s="10">
        <v>0.18</v>
      </c>
    </row>
    <row r="11" spans="1:11" x14ac:dyDescent="0.3">
      <c r="A11" t="s">
        <v>30</v>
      </c>
      <c r="B11" s="9" t="s">
        <v>6</v>
      </c>
      <c r="C11" s="10">
        <v>6.01</v>
      </c>
      <c r="D11" s="10">
        <v>5.8</v>
      </c>
      <c r="E11" s="10">
        <v>6.22</v>
      </c>
    </row>
    <row r="12" spans="1:11" x14ac:dyDescent="0.3">
      <c r="A12" t="s">
        <v>30</v>
      </c>
      <c r="B12" s="9" t="s">
        <v>7</v>
      </c>
      <c r="C12" s="10">
        <v>7.79</v>
      </c>
      <c r="D12" s="10">
        <v>7.41</v>
      </c>
      <c r="E12" s="10">
        <v>8.17</v>
      </c>
    </row>
    <row r="13" spans="1:11" x14ac:dyDescent="0.3">
      <c r="A13" t="s">
        <v>30</v>
      </c>
      <c r="B13" s="9" t="s">
        <v>8</v>
      </c>
      <c r="C13" s="10">
        <v>0.95</v>
      </c>
      <c r="D13" s="10">
        <v>0.8</v>
      </c>
      <c r="E13" s="10">
        <v>1.1000000000000001</v>
      </c>
    </row>
    <row r="14" spans="1:11" x14ac:dyDescent="0.3">
      <c r="A14" t="s">
        <v>31</v>
      </c>
      <c r="B14" s="9" t="s">
        <v>5</v>
      </c>
      <c r="C14" s="10">
        <v>0.1</v>
      </c>
      <c r="D14" s="10">
        <v>7.0000000000000007E-2</v>
      </c>
      <c r="E14" s="10">
        <v>0.12</v>
      </c>
      <c r="G14" s="12" t="s">
        <v>24</v>
      </c>
      <c r="H14" s="3" t="s">
        <v>10</v>
      </c>
      <c r="I14" s="3" t="s">
        <v>11</v>
      </c>
      <c r="J14" s="3" t="s">
        <v>12</v>
      </c>
    </row>
    <row r="15" spans="1:11" x14ac:dyDescent="0.3">
      <c r="A15" t="s">
        <v>31</v>
      </c>
      <c r="B15" s="9" t="s">
        <v>6</v>
      </c>
      <c r="C15" s="10">
        <v>6.14</v>
      </c>
      <c r="D15" s="10">
        <v>5.92</v>
      </c>
      <c r="E15" s="10">
        <v>6.36</v>
      </c>
      <c r="G15" s="12" t="s">
        <v>13</v>
      </c>
      <c r="H15" s="2">
        <v>18.8</v>
      </c>
      <c r="I15" s="2">
        <f>H15+(H15*10%)</f>
        <v>20.68</v>
      </c>
      <c r="J15" s="2">
        <f>H15-(H15*10%)</f>
        <v>16.920000000000002</v>
      </c>
    </row>
    <row r="16" spans="1:11" x14ac:dyDescent="0.3">
      <c r="A16" t="s">
        <v>31</v>
      </c>
      <c r="B16" s="9" t="s">
        <v>7</v>
      </c>
      <c r="C16" s="10">
        <v>8.01</v>
      </c>
      <c r="D16" s="10">
        <v>7.62</v>
      </c>
      <c r="E16" s="10">
        <v>8.4</v>
      </c>
      <c r="G16" s="12" t="s">
        <v>14</v>
      </c>
      <c r="H16" s="2">
        <v>11.853607778243843</v>
      </c>
      <c r="I16" s="13">
        <f>H16+(H16*5%)</f>
        <v>12.446288167156036</v>
      </c>
      <c r="J16" s="13">
        <f>H16-(H16*5%)</f>
        <v>11.26092738933165</v>
      </c>
      <c r="K16" s="6" t="s">
        <v>50</v>
      </c>
    </row>
    <row r="17" spans="1:11" x14ac:dyDescent="0.3">
      <c r="A17" t="s">
        <v>31</v>
      </c>
      <c r="B17" s="9" t="s">
        <v>8</v>
      </c>
      <c r="C17" s="10">
        <v>1.26</v>
      </c>
      <c r="D17" s="10">
        <v>1.08</v>
      </c>
      <c r="E17" s="10">
        <v>1.44</v>
      </c>
      <c r="G17" s="12" t="s">
        <v>15</v>
      </c>
      <c r="H17" s="2">
        <f>H16*1.1</f>
        <v>13.038968556068228</v>
      </c>
      <c r="I17" s="13">
        <f>H17+(H17*5%)</f>
        <v>13.69091698387164</v>
      </c>
      <c r="J17" s="13">
        <f>H17-(H17*5%)</f>
        <v>12.387020128264817</v>
      </c>
      <c r="K17" s="6" t="s">
        <v>49</v>
      </c>
    </row>
    <row r="18" spans="1:11" x14ac:dyDescent="0.3">
      <c r="A18" t="s">
        <v>32</v>
      </c>
      <c r="B18" s="9" t="s">
        <v>5</v>
      </c>
      <c r="C18" s="10">
        <v>0.06</v>
      </c>
      <c r="D18" s="10">
        <v>0.05</v>
      </c>
      <c r="E18" s="10">
        <v>0.08</v>
      </c>
      <c r="G18" s="12" t="s">
        <v>16</v>
      </c>
      <c r="H18" s="2">
        <v>1.82</v>
      </c>
      <c r="I18" s="2">
        <f>H18+(H18*10%)</f>
        <v>2.0020000000000002</v>
      </c>
      <c r="J18" s="2">
        <f>H18-(H18*10%)</f>
        <v>1.6380000000000001</v>
      </c>
    </row>
    <row r="19" spans="1:11" x14ac:dyDescent="0.3">
      <c r="A19" t="s">
        <v>32</v>
      </c>
      <c r="B19" s="9" t="s">
        <v>6</v>
      </c>
      <c r="C19" s="10">
        <v>6.11</v>
      </c>
      <c r="D19" s="10">
        <v>5.89</v>
      </c>
      <c r="E19" s="10">
        <v>6.33</v>
      </c>
      <c r="G19" s="12" t="s">
        <v>17</v>
      </c>
      <c r="H19" s="2">
        <v>6.78</v>
      </c>
      <c r="I19" s="2">
        <f>H19+(H19*10%)</f>
        <v>7.4580000000000002</v>
      </c>
      <c r="J19" s="2">
        <f t="shared" ref="J19" si="0">H19-(H19*10%)</f>
        <v>6.1020000000000003</v>
      </c>
    </row>
    <row r="20" spans="1:11" x14ac:dyDescent="0.3">
      <c r="A20" t="s">
        <v>32</v>
      </c>
      <c r="B20" s="9" t="s">
        <v>7</v>
      </c>
      <c r="C20" s="10">
        <v>8</v>
      </c>
      <c r="D20" s="10">
        <v>7.6</v>
      </c>
      <c r="E20" s="10">
        <v>8.4</v>
      </c>
    </row>
    <row r="21" spans="1:11" x14ac:dyDescent="0.3">
      <c r="A21" t="s">
        <v>32</v>
      </c>
      <c r="B21" s="9" t="s">
        <v>8</v>
      </c>
      <c r="C21" s="10">
        <v>1.75</v>
      </c>
      <c r="D21" s="10">
        <v>1.53</v>
      </c>
      <c r="E21" s="10">
        <v>1.97</v>
      </c>
    </row>
    <row r="22" spans="1:11" x14ac:dyDescent="0.3">
      <c r="A22" s="11" t="s">
        <v>41</v>
      </c>
      <c r="B22" s="9" t="s">
        <v>5</v>
      </c>
      <c r="C22" s="10">
        <v>0.06</v>
      </c>
      <c r="D22" s="10">
        <v>0.04</v>
      </c>
      <c r="E22" s="10">
        <v>0.08</v>
      </c>
    </row>
    <row r="23" spans="1:11" x14ac:dyDescent="0.3">
      <c r="A23" s="11" t="s">
        <v>41</v>
      </c>
      <c r="B23" s="9" t="s">
        <v>6</v>
      </c>
      <c r="C23" s="10">
        <v>6.12</v>
      </c>
      <c r="D23" s="10">
        <v>5.9</v>
      </c>
      <c r="E23" s="10">
        <v>6.34</v>
      </c>
    </row>
    <row r="24" spans="1:11" x14ac:dyDescent="0.3">
      <c r="A24" s="11" t="s">
        <v>41</v>
      </c>
      <c r="B24" s="9" t="s">
        <v>7</v>
      </c>
      <c r="C24" s="10">
        <v>8</v>
      </c>
      <c r="D24" s="10">
        <v>7.61</v>
      </c>
      <c r="E24" s="10">
        <v>8.39</v>
      </c>
    </row>
    <row r="25" spans="1:11" x14ac:dyDescent="0.3">
      <c r="A25" s="11" t="s">
        <v>41</v>
      </c>
      <c r="B25" s="9" t="s">
        <v>8</v>
      </c>
      <c r="C25" s="10">
        <v>1.48</v>
      </c>
      <c r="D25" s="10">
        <v>1.28</v>
      </c>
      <c r="E25" s="10">
        <v>1.68</v>
      </c>
    </row>
    <row r="26" spans="1:11" x14ac:dyDescent="0.3">
      <c r="A26" s="11" t="s">
        <v>42</v>
      </c>
      <c r="B26" s="9" t="s">
        <v>5</v>
      </c>
      <c r="C26" s="10">
        <v>0.1</v>
      </c>
      <c r="D26" s="10">
        <v>0.08</v>
      </c>
      <c r="E26" s="10">
        <v>0.12</v>
      </c>
    </row>
    <row r="27" spans="1:11" x14ac:dyDescent="0.3">
      <c r="A27" s="11" t="s">
        <v>42</v>
      </c>
      <c r="B27" s="9" t="s">
        <v>6</v>
      </c>
      <c r="C27" s="10">
        <v>6.12</v>
      </c>
      <c r="D27" s="10">
        <v>5.9</v>
      </c>
      <c r="E27" s="10">
        <v>6.34</v>
      </c>
    </row>
    <row r="28" spans="1:11" x14ac:dyDescent="0.3">
      <c r="A28" s="11" t="s">
        <v>42</v>
      </c>
      <c r="B28" s="9" t="s">
        <v>7</v>
      </c>
      <c r="C28" s="10">
        <v>8</v>
      </c>
      <c r="D28" s="10">
        <v>7.61</v>
      </c>
      <c r="E28" s="10">
        <v>8.39</v>
      </c>
    </row>
    <row r="29" spans="1:11" x14ac:dyDescent="0.3">
      <c r="A29" s="11" t="s">
        <v>42</v>
      </c>
      <c r="B29" s="9" t="s">
        <v>8</v>
      </c>
      <c r="C29" s="10">
        <v>1.48</v>
      </c>
      <c r="D29" s="10">
        <v>1.28</v>
      </c>
      <c r="E29" s="10">
        <v>1.68</v>
      </c>
    </row>
    <row r="30" spans="1:11" x14ac:dyDescent="0.3">
      <c r="A30" s="11" t="s">
        <v>47</v>
      </c>
      <c r="B30" s="9" t="s">
        <v>5</v>
      </c>
      <c r="C30" s="10">
        <v>0.08</v>
      </c>
      <c r="D30" s="10">
        <v>0.06</v>
      </c>
      <c r="E30" s="10">
        <v>0.1</v>
      </c>
    </row>
    <row r="31" spans="1:11" x14ac:dyDescent="0.3">
      <c r="A31" s="11" t="s">
        <v>47</v>
      </c>
      <c r="B31" s="9" t="s">
        <v>6</v>
      </c>
      <c r="C31" s="10">
        <v>6.12</v>
      </c>
      <c r="D31" s="10">
        <v>5.9</v>
      </c>
      <c r="E31" s="10">
        <v>6.34</v>
      </c>
    </row>
    <row r="32" spans="1:11" x14ac:dyDescent="0.3">
      <c r="A32" s="11" t="s">
        <v>47</v>
      </c>
      <c r="B32" s="9" t="s">
        <v>7</v>
      </c>
      <c r="C32" s="10">
        <v>8</v>
      </c>
      <c r="D32" s="10">
        <v>7.61</v>
      </c>
      <c r="E32" s="10">
        <v>8.39</v>
      </c>
    </row>
    <row r="33" spans="1:5" x14ac:dyDescent="0.3">
      <c r="A33" s="11" t="s">
        <v>47</v>
      </c>
      <c r="B33" s="9" t="s">
        <v>8</v>
      </c>
      <c r="C33" s="10">
        <v>1.48</v>
      </c>
      <c r="D33" s="10">
        <v>1.28</v>
      </c>
      <c r="E33" s="10">
        <v>1.68</v>
      </c>
    </row>
    <row r="34" spans="1:5" x14ac:dyDescent="0.3">
      <c r="A34" s="11" t="s">
        <v>48</v>
      </c>
      <c r="B34" s="9" t="s">
        <v>5</v>
      </c>
      <c r="C34" s="10">
        <v>0.08</v>
      </c>
      <c r="D34" s="10">
        <v>0.06</v>
      </c>
      <c r="E34" s="10">
        <v>0.1</v>
      </c>
    </row>
    <row r="35" spans="1:5" x14ac:dyDescent="0.3">
      <c r="A35" s="11" t="s">
        <v>48</v>
      </c>
      <c r="B35" s="9" t="s">
        <v>6</v>
      </c>
      <c r="C35" s="10">
        <v>6.12</v>
      </c>
      <c r="D35" s="10">
        <v>5.9</v>
      </c>
      <c r="E35" s="10">
        <v>6.34</v>
      </c>
    </row>
    <row r="36" spans="1:5" x14ac:dyDescent="0.3">
      <c r="A36" s="11" t="s">
        <v>48</v>
      </c>
      <c r="B36" s="9" t="s">
        <v>7</v>
      </c>
      <c r="C36" s="10">
        <v>8</v>
      </c>
      <c r="D36" s="10">
        <v>7.61</v>
      </c>
      <c r="E36" s="10">
        <v>8.39</v>
      </c>
    </row>
    <row r="37" spans="1:5" x14ac:dyDescent="0.3">
      <c r="A37" s="11" t="s">
        <v>48</v>
      </c>
      <c r="B37" s="9" t="s">
        <v>8</v>
      </c>
      <c r="C37" s="10">
        <v>1.48</v>
      </c>
      <c r="D37" s="10">
        <v>1.28</v>
      </c>
      <c r="E37" s="10">
        <v>1.68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3E57-0AE8-46A9-A5F0-2833E2F47CA4}">
  <dimension ref="A1:L37"/>
  <sheetViews>
    <sheetView topLeftCell="A10" workbookViewId="0">
      <selection activeCell="J23" sqref="J23"/>
    </sheetView>
  </sheetViews>
  <sheetFormatPr defaultRowHeight="14.4" x14ac:dyDescent="0.3"/>
  <cols>
    <col min="1" max="1" width="7.44140625" style="9" bestFit="1" customWidth="1"/>
    <col min="2" max="2" width="4.88671875" style="9" bestFit="1" customWidth="1"/>
    <col min="3" max="3" width="6.21875" style="10" bestFit="1" customWidth="1"/>
    <col min="4" max="6" width="6" style="10" bestFit="1" customWidth="1"/>
    <col min="7" max="7" width="1.21875" customWidth="1"/>
    <col min="8" max="8" width="8.33203125" style="11" customWidth="1"/>
    <col min="9" max="12" width="14.109375" style="6" bestFit="1" customWidth="1"/>
  </cols>
  <sheetData>
    <row r="1" spans="1:12" ht="15" thickBot="1" x14ac:dyDescent="0.35">
      <c r="A1" s="9" t="s">
        <v>9</v>
      </c>
      <c r="B1" s="9" t="s">
        <v>54</v>
      </c>
      <c r="C1" s="9" t="s">
        <v>24</v>
      </c>
      <c r="D1" s="10" t="s">
        <v>1</v>
      </c>
      <c r="E1" s="10" t="s">
        <v>2</v>
      </c>
      <c r="F1" s="10" t="s">
        <v>3</v>
      </c>
      <c r="H1" s="11" t="s">
        <v>9</v>
      </c>
      <c r="I1" s="5" t="s">
        <v>8</v>
      </c>
      <c r="J1" s="6" t="s">
        <v>72</v>
      </c>
      <c r="K1" s="5" t="s">
        <v>68</v>
      </c>
      <c r="L1" s="5" t="s">
        <v>69</v>
      </c>
    </row>
    <row r="2" spans="1:12" ht="15" thickBot="1" x14ac:dyDescent="0.35">
      <c r="A2" s="9" t="s">
        <v>4</v>
      </c>
      <c r="B2" s="9">
        <v>1</v>
      </c>
      <c r="C2" s="9" t="s">
        <v>8</v>
      </c>
      <c r="D2" s="10">
        <v>1.07</v>
      </c>
      <c r="E2" s="10">
        <v>0.84499999999999997</v>
      </c>
      <c r="F2" s="10">
        <v>1.41</v>
      </c>
      <c r="H2" s="11" t="s">
        <v>4</v>
      </c>
      <c r="I2" s="8"/>
      <c r="J2" s="8"/>
      <c r="K2" s="8"/>
      <c r="L2" s="8"/>
    </row>
    <row r="3" spans="1:12" ht="15" thickBot="1" x14ac:dyDescent="0.35">
      <c r="A3" s="9" t="s">
        <v>4</v>
      </c>
      <c r="B3" s="9">
        <v>1</v>
      </c>
      <c r="C3" s="9" t="s">
        <v>72</v>
      </c>
      <c r="D3" s="10">
        <v>0.27</v>
      </c>
      <c r="E3" s="10">
        <v>0.19</v>
      </c>
      <c r="F3" s="10">
        <v>0.37</v>
      </c>
      <c r="H3" s="11" t="s">
        <v>29</v>
      </c>
      <c r="I3" s="4"/>
      <c r="J3" s="4"/>
      <c r="K3" s="4"/>
      <c r="L3" s="4"/>
    </row>
    <row r="4" spans="1:12" ht="15" thickBot="1" x14ac:dyDescent="0.35">
      <c r="A4" s="9" t="s">
        <v>4</v>
      </c>
      <c r="B4" s="9">
        <v>1</v>
      </c>
      <c r="C4" s="9" t="s">
        <v>68</v>
      </c>
      <c r="D4" s="10">
        <v>0.04</v>
      </c>
      <c r="E4" s="10">
        <v>2.8000000000000001E-2</v>
      </c>
      <c r="F4" s="10">
        <v>5.3999999999999999E-2</v>
      </c>
      <c r="H4" s="11" t="s">
        <v>30</v>
      </c>
      <c r="I4" s="8"/>
      <c r="J4" s="8"/>
      <c r="K4" s="8"/>
      <c r="L4" s="8"/>
    </row>
    <row r="5" spans="1:12" x14ac:dyDescent="0.3">
      <c r="A5" s="9" t="s">
        <v>4</v>
      </c>
      <c r="B5" s="9">
        <v>1</v>
      </c>
      <c r="C5" s="9" t="s">
        <v>69</v>
      </c>
      <c r="D5" s="10">
        <v>0.75</v>
      </c>
      <c r="E5" s="10">
        <v>0.53</v>
      </c>
      <c r="F5" s="10">
        <v>1</v>
      </c>
      <c r="H5" s="11" t="s">
        <v>31</v>
      </c>
    </row>
    <row r="6" spans="1:12" ht="15" thickBot="1" x14ac:dyDescent="0.35">
      <c r="A6" t="s">
        <v>29</v>
      </c>
      <c r="B6" s="9">
        <v>2</v>
      </c>
      <c r="C6" s="9" t="s">
        <v>8</v>
      </c>
      <c r="D6" s="10">
        <v>1.33</v>
      </c>
      <c r="E6" s="10">
        <v>1.1299999999999999</v>
      </c>
      <c r="F6" s="10">
        <v>1.59</v>
      </c>
      <c r="H6" s="11" t="s">
        <v>32</v>
      </c>
      <c r="I6" s="16"/>
      <c r="J6" s="16"/>
      <c r="K6" s="16"/>
      <c r="L6" s="16"/>
    </row>
    <row r="7" spans="1:12" x14ac:dyDescent="0.3">
      <c r="A7" t="s">
        <v>29</v>
      </c>
      <c r="B7" s="9">
        <v>2</v>
      </c>
      <c r="C7" s="9" t="s">
        <v>72</v>
      </c>
      <c r="D7" s="10">
        <v>0.22</v>
      </c>
      <c r="E7" s="10">
        <v>0.17</v>
      </c>
      <c r="F7" s="10">
        <v>0.27</v>
      </c>
      <c r="H7" s="11" t="s">
        <v>41</v>
      </c>
    </row>
    <row r="8" spans="1:12" ht="15" thickBot="1" x14ac:dyDescent="0.35">
      <c r="A8" t="s">
        <v>29</v>
      </c>
      <c r="B8" s="9">
        <v>2</v>
      </c>
      <c r="C8" s="9" t="s">
        <v>68</v>
      </c>
      <c r="D8" s="10">
        <v>3.5000000000000003E-2</v>
      </c>
      <c r="E8" s="10">
        <v>2.7E-2</v>
      </c>
      <c r="F8" s="10">
        <v>4.2000000000000003E-2</v>
      </c>
      <c r="H8" s="11" t="s">
        <v>42</v>
      </c>
      <c r="I8" s="8"/>
      <c r="J8" s="8"/>
      <c r="K8" s="8"/>
      <c r="L8" s="8"/>
    </row>
    <row r="9" spans="1:12" x14ac:dyDescent="0.3">
      <c r="A9" t="s">
        <v>29</v>
      </c>
      <c r="B9" s="9">
        <v>2</v>
      </c>
      <c r="C9" s="9" t="s">
        <v>69</v>
      </c>
      <c r="D9" s="10">
        <v>0.59</v>
      </c>
      <c r="E9" s="10">
        <v>0.48</v>
      </c>
      <c r="F9" s="10">
        <v>0.74</v>
      </c>
      <c r="H9" s="11" t="s">
        <v>70</v>
      </c>
    </row>
    <row r="10" spans="1:12" ht="15" thickBot="1" x14ac:dyDescent="0.35">
      <c r="A10" t="s">
        <v>30</v>
      </c>
      <c r="B10" s="9">
        <v>3</v>
      </c>
      <c r="C10" s="9" t="s">
        <v>8</v>
      </c>
      <c r="D10" s="10">
        <v>0.88400000000000001</v>
      </c>
      <c r="E10" s="10">
        <v>0.61899999999999999</v>
      </c>
      <c r="F10" s="10">
        <v>1.1100000000000001</v>
      </c>
      <c r="H10" s="11" t="s">
        <v>71</v>
      </c>
      <c r="I10" s="8"/>
      <c r="J10" s="8"/>
      <c r="K10" s="8"/>
      <c r="L10" s="8"/>
    </row>
    <row r="11" spans="1:12" x14ac:dyDescent="0.3">
      <c r="A11" t="s">
        <v>30</v>
      </c>
      <c r="B11" s="9">
        <v>3</v>
      </c>
      <c r="C11" s="9" t="s">
        <v>72</v>
      </c>
      <c r="D11" s="10">
        <v>0.34</v>
      </c>
      <c r="E11" s="10">
        <v>0.22</v>
      </c>
      <c r="F11" s="10">
        <v>0.48</v>
      </c>
    </row>
    <row r="12" spans="1:12" x14ac:dyDescent="0.3">
      <c r="A12" t="s">
        <v>30</v>
      </c>
      <c r="B12" s="9">
        <v>3</v>
      </c>
      <c r="C12" s="9" t="s">
        <v>68</v>
      </c>
      <c r="D12" s="10">
        <v>3.9E-2</v>
      </c>
      <c r="E12" s="10">
        <v>2.5000000000000001E-2</v>
      </c>
      <c r="F12" s="10">
        <v>5.5E-2</v>
      </c>
    </row>
    <row r="13" spans="1:12" x14ac:dyDescent="0.3">
      <c r="A13" t="s">
        <v>30</v>
      </c>
      <c r="B13" s="9">
        <v>3</v>
      </c>
      <c r="C13" s="9" t="s">
        <v>69</v>
      </c>
      <c r="D13" s="10">
        <v>0.94</v>
      </c>
      <c r="E13" s="10">
        <v>0.61</v>
      </c>
      <c r="F13" s="10">
        <v>1.3</v>
      </c>
    </row>
    <row r="14" spans="1:12" x14ac:dyDescent="0.3">
      <c r="A14" t="s">
        <v>31</v>
      </c>
      <c r="B14" s="9">
        <v>4</v>
      </c>
      <c r="C14" s="9" t="s">
        <v>8</v>
      </c>
      <c r="D14" s="10">
        <v>0.97399999999999998</v>
      </c>
      <c r="E14" s="10">
        <v>0.80600000000000005</v>
      </c>
      <c r="F14" s="10">
        <v>1.18</v>
      </c>
      <c r="H14" s="14" t="s">
        <v>24</v>
      </c>
      <c r="I14" s="15" t="s">
        <v>10</v>
      </c>
      <c r="J14" s="15" t="s">
        <v>11</v>
      </c>
      <c r="K14" s="15" t="s">
        <v>12</v>
      </c>
    </row>
    <row r="15" spans="1:12" x14ac:dyDescent="0.3">
      <c r="A15" t="s">
        <v>31</v>
      </c>
      <c r="B15" s="9">
        <v>4</v>
      </c>
      <c r="C15" s="9" t="s">
        <v>72</v>
      </c>
      <c r="D15" s="10">
        <v>0.28999999999999998</v>
      </c>
      <c r="E15" s="10">
        <v>0.22</v>
      </c>
      <c r="F15" s="10">
        <v>0.37</v>
      </c>
      <c r="H15" s="14" t="s">
        <v>13</v>
      </c>
      <c r="I15" s="13">
        <v>18.8</v>
      </c>
      <c r="J15" s="2">
        <f>I15+(I15*5%)</f>
        <v>19.740000000000002</v>
      </c>
      <c r="K15" s="2">
        <f>I15-(I15*5%)</f>
        <v>17.86</v>
      </c>
    </row>
    <row r="16" spans="1:12" x14ac:dyDescent="0.3">
      <c r="A16" t="s">
        <v>31</v>
      </c>
      <c r="B16" s="9">
        <v>4</v>
      </c>
      <c r="C16" s="9" t="s">
        <v>68</v>
      </c>
      <c r="D16" s="10">
        <v>3.5999999999999997E-2</v>
      </c>
      <c r="E16" s="10">
        <v>2.8000000000000001E-2</v>
      </c>
      <c r="F16" s="10">
        <v>4.5999999999999999E-2</v>
      </c>
      <c r="H16" s="14" t="s">
        <v>14</v>
      </c>
      <c r="I16" s="13">
        <v>11.853607778243843</v>
      </c>
      <c r="J16" s="2">
        <f t="shared" ref="J16:J18" si="0">I16+(I16*5%)</f>
        <v>12.446288167156036</v>
      </c>
      <c r="K16" s="2">
        <f t="shared" ref="K16:K18" si="1">I16-(I16*5%)</f>
        <v>11.26092738933165</v>
      </c>
    </row>
    <row r="17" spans="1:11" x14ac:dyDescent="0.3">
      <c r="A17" t="s">
        <v>31</v>
      </c>
      <c r="B17" s="9">
        <v>4</v>
      </c>
      <c r="C17" s="9" t="s">
        <v>69</v>
      </c>
      <c r="D17" s="10">
        <v>0.81</v>
      </c>
      <c r="E17" s="10">
        <v>0.62</v>
      </c>
      <c r="F17" s="10">
        <v>1</v>
      </c>
      <c r="H17" s="14" t="s">
        <v>16</v>
      </c>
      <c r="I17" s="13">
        <v>1.82</v>
      </c>
      <c r="J17" s="2">
        <f t="shared" si="0"/>
        <v>1.911</v>
      </c>
      <c r="K17" s="2">
        <f t="shared" si="1"/>
        <v>1.7290000000000001</v>
      </c>
    </row>
    <row r="18" spans="1:11" x14ac:dyDescent="0.3">
      <c r="A18" t="s">
        <v>32</v>
      </c>
      <c r="B18" s="9">
        <v>5</v>
      </c>
      <c r="C18" s="9" t="s">
        <v>8</v>
      </c>
      <c r="D18" s="10">
        <v>1.23</v>
      </c>
      <c r="E18" s="10">
        <v>0.93300000000000005</v>
      </c>
      <c r="F18" s="10">
        <v>1.58</v>
      </c>
      <c r="H18" s="14" t="s">
        <v>17</v>
      </c>
      <c r="I18" s="13">
        <v>6.78</v>
      </c>
      <c r="J18" s="7">
        <f t="shared" si="0"/>
        <v>7.1190000000000007</v>
      </c>
      <c r="K18" s="7">
        <f t="shared" si="1"/>
        <v>6.4409999999999998</v>
      </c>
    </row>
    <row r="19" spans="1:11" x14ac:dyDescent="0.3">
      <c r="A19" t="s">
        <v>32</v>
      </c>
      <c r="B19" s="9">
        <v>5</v>
      </c>
      <c r="C19" s="9" t="s">
        <v>72</v>
      </c>
      <c r="D19" s="10">
        <v>0.24</v>
      </c>
      <c r="E19" s="10">
        <v>0.16</v>
      </c>
      <c r="F19" s="10">
        <v>0.32</v>
      </c>
    </row>
    <row r="20" spans="1:11" x14ac:dyDescent="0.3">
      <c r="A20" t="s">
        <v>32</v>
      </c>
      <c r="B20" s="9">
        <v>5</v>
      </c>
      <c r="C20" s="9" t="s">
        <v>68</v>
      </c>
      <c r="D20" s="10">
        <v>4.2000000000000003E-2</v>
      </c>
      <c r="E20" s="10">
        <v>2.8000000000000001E-2</v>
      </c>
      <c r="F20" s="10">
        <v>5.7000000000000002E-2</v>
      </c>
    </row>
    <row r="21" spans="1:11" x14ac:dyDescent="0.3">
      <c r="A21" t="s">
        <v>32</v>
      </c>
      <c r="B21" s="9">
        <v>5</v>
      </c>
      <c r="C21" s="9" t="s">
        <v>69</v>
      </c>
      <c r="D21" s="10">
        <v>0.65</v>
      </c>
      <c r="E21" s="10">
        <v>0.44</v>
      </c>
      <c r="F21" s="10">
        <v>0.88</v>
      </c>
    </row>
    <row r="22" spans="1:11" x14ac:dyDescent="0.3">
      <c r="A22" s="11" t="s">
        <v>41</v>
      </c>
      <c r="B22" s="11">
        <v>6</v>
      </c>
      <c r="C22" s="9" t="s">
        <v>8</v>
      </c>
      <c r="D22" s="10">
        <v>1.07</v>
      </c>
      <c r="E22" s="10">
        <v>0.84499999999999997</v>
      </c>
      <c r="F22" s="10">
        <v>1.41</v>
      </c>
    </row>
    <row r="23" spans="1:11" x14ac:dyDescent="0.3">
      <c r="A23" s="11" t="s">
        <v>41</v>
      </c>
      <c r="B23" s="11">
        <v>6</v>
      </c>
      <c r="C23" s="9" t="s">
        <v>72</v>
      </c>
      <c r="D23" s="10">
        <v>0.27</v>
      </c>
      <c r="E23" s="10">
        <v>0.19</v>
      </c>
      <c r="F23" s="10">
        <v>0.37</v>
      </c>
    </row>
    <row r="24" spans="1:11" x14ac:dyDescent="0.3">
      <c r="A24" s="11" t="s">
        <v>41</v>
      </c>
      <c r="B24" s="11">
        <v>6</v>
      </c>
      <c r="C24" s="9" t="s">
        <v>68</v>
      </c>
      <c r="D24" s="10">
        <v>0.04</v>
      </c>
      <c r="E24" s="10">
        <v>2.8000000000000001E-2</v>
      </c>
      <c r="F24" s="10">
        <v>5.3999999999999999E-2</v>
      </c>
    </row>
    <row r="25" spans="1:11" x14ac:dyDescent="0.3">
      <c r="A25" s="11" t="s">
        <v>41</v>
      </c>
      <c r="B25" s="11">
        <v>6</v>
      </c>
      <c r="C25" s="9" t="s">
        <v>69</v>
      </c>
      <c r="D25" s="10">
        <v>0.75</v>
      </c>
      <c r="E25" s="10">
        <v>0.53</v>
      </c>
      <c r="F25" s="10">
        <v>1</v>
      </c>
    </row>
    <row r="26" spans="1:11" x14ac:dyDescent="0.3">
      <c r="A26" s="11" t="s">
        <v>42</v>
      </c>
      <c r="B26" s="11">
        <v>7</v>
      </c>
      <c r="C26" s="9" t="s">
        <v>8</v>
      </c>
      <c r="D26" s="10">
        <v>1.07</v>
      </c>
      <c r="E26" s="10">
        <v>0.84499999999999997</v>
      </c>
      <c r="F26" s="10">
        <v>1.41</v>
      </c>
    </row>
    <row r="27" spans="1:11" x14ac:dyDescent="0.3">
      <c r="A27" s="11" t="s">
        <v>42</v>
      </c>
      <c r="B27" s="11">
        <v>7</v>
      </c>
      <c r="C27" s="9" t="s">
        <v>72</v>
      </c>
      <c r="D27" s="10">
        <v>0.27</v>
      </c>
      <c r="E27" s="10">
        <v>0.19</v>
      </c>
      <c r="F27" s="10">
        <v>0.37</v>
      </c>
    </row>
    <row r="28" spans="1:11" x14ac:dyDescent="0.3">
      <c r="A28" s="11" t="s">
        <v>42</v>
      </c>
      <c r="B28" s="11">
        <v>7</v>
      </c>
      <c r="C28" s="9" t="s">
        <v>68</v>
      </c>
      <c r="D28" s="10">
        <v>0.04</v>
      </c>
      <c r="E28" s="10">
        <v>2.8000000000000001E-2</v>
      </c>
      <c r="F28" s="10">
        <v>5.3999999999999999E-2</v>
      </c>
    </row>
    <row r="29" spans="1:11" x14ac:dyDescent="0.3">
      <c r="A29" s="11" t="s">
        <v>42</v>
      </c>
      <c r="B29" s="11">
        <v>7</v>
      </c>
      <c r="C29" s="9" t="s">
        <v>69</v>
      </c>
      <c r="D29" s="10">
        <v>0.75</v>
      </c>
      <c r="E29" s="10">
        <v>0.53</v>
      </c>
      <c r="F29" s="10">
        <v>1</v>
      </c>
    </row>
    <row r="30" spans="1:11" x14ac:dyDescent="0.3">
      <c r="A30" s="11" t="s">
        <v>70</v>
      </c>
      <c r="B30" s="11">
        <v>8</v>
      </c>
      <c r="C30" s="9" t="s">
        <v>8</v>
      </c>
      <c r="D30" s="10">
        <v>1.29</v>
      </c>
      <c r="E30" s="10">
        <v>1.06</v>
      </c>
      <c r="F30" s="10">
        <v>1.62</v>
      </c>
    </row>
    <row r="31" spans="1:11" x14ac:dyDescent="0.3">
      <c r="A31" s="11" t="s">
        <v>70</v>
      </c>
      <c r="B31" s="11">
        <v>8</v>
      </c>
      <c r="C31" s="9" t="s">
        <v>72</v>
      </c>
      <c r="D31" s="10">
        <v>0.24</v>
      </c>
      <c r="E31" s="10">
        <v>0.18</v>
      </c>
      <c r="F31" s="10">
        <v>0.31</v>
      </c>
    </row>
    <row r="32" spans="1:11" x14ac:dyDescent="0.3">
      <c r="A32" s="11" t="s">
        <v>70</v>
      </c>
      <c r="B32" s="11">
        <v>8</v>
      </c>
      <c r="C32" s="9" t="s">
        <v>68</v>
      </c>
      <c r="D32" s="10">
        <v>4.3999999999999997E-2</v>
      </c>
      <c r="E32" s="10">
        <v>3.4000000000000002E-2</v>
      </c>
      <c r="F32" s="10">
        <v>5.8000000000000003E-2</v>
      </c>
    </row>
    <row r="33" spans="1:6" x14ac:dyDescent="0.3">
      <c r="A33" s="11" t="s">
        <v>70</v>
      </c>
      <c r="B33" s="11">
        <v>8</v>
      </c>
      <c r="C33" s="9" t="s">
        <v>69</v>
      </c>
      <c r="D33" s="10">
        <v>0.64</v>
      </c>
      <c r="E33" s="10">
        <v>0.49</v>
      </c>
      <c r="F33" s="10">
        <v>0.85</v>
      </c>
    </row>
    <row r="34" spans="1:6" x14ac:dyDescent="0.3">
      <c r="A34" s="11" t="s">
        <v>71</v>
      </c>
      <c r="B34" s="11">
        <v>9</v>
      </c>
      <c r="C34" s="9" t="s">
        <v>8</v>
      </c>
      <c r="D34" s="10">
        <v>0.96799999999999997</v>
      </c>
      <c r="E34" s="10">
        <v>0.76</v>
      </c>
      <c r="F34" s="10">
        <v>1.19</v>
      </c>
    </row>
    <row r="35" spans="1:6" x14ac:dyDescent="0.3">
      <c r="A35" s="11" t="s">
        <v>71</v>
      </c>
      <c r="B35" s="11">
        <v>9</v>
      </c>
      <c r="C35" s="9" t="s">
        <v>72</v>
      </c>
      <c r="D35" s="10">
        <v>0.28999999999999998</v>
      </c>
      <c r="E35" s="10">
        <v>0.21</v>
      </c>
      <c r="F35" s="10">
        <v>0.38</v>
      </c>
    </row>
    <row r="36" spans="1:6" x14ac:dyDescent="0.3">
      <c r="A36" s="11" t="s">
        <v>71</v>
      </c>
      <c r="B36" s="11">
        <v>9</v>
      </c>
      <c r="C36" s="9" t="s">
        <v>68</v>
      </c>
      <c r="D36" s="10">
        <v>3.5000000000000003E-2</v>
      </c>
      <c r="E36" s="10">
        <v>2.5000000000000001E-2</v>
      </c>
      <c r="F36" s="10">
        <v>4.5999999999999999E-2</v>
      </c>
    </row>
    <row r="37" spans="1:6" x14ac:dyDescent="0.3">
      <c r="A37" s="11" t="s">
        <v>71</v>
      </c>
      <c r="B37" s="11">
        <v>9</v>
      </c>
      <c r="C37" s="9" t="s">
        <v>69</v>
      </c>
      <c r="D37" s="10">
        <v>0.81</v>
      </c>
      <c r="E37" s="10">
        <v>0.57999999999999996</v>
      </c>
      <c r="F37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parameters</vt:lpstr>
      <vt:lpstr>LBSPR (5%)</vt:lpstr>
      <vt:lpstr>LBB (5%)</vt:lpstr>
      <vt:lpstr>LBSPR (5%Pre)</vt:lpstr>
      <vt:lpstr>LBSPR 10%</vt:lpstr>
      <vt:lpstr>LBSPR (10%Pre)</vt:lpstr>
      <vt:lpstr>LBB (5%)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Ataher Ali</dc:creator>
  <cp:lastModifiedBy>Ataher Ali</cp:lastModifiedBy>
  <dcterms:created xsi:type="dcterms:W3CDTF">2015-06-05T18:17:20Z</dcterms:created>
  <dcterms:modified xsi:type="dcterms:W3CDTF">2025-08-25T00:40:08Z</dcterms:modified>
</cp:coreProperties>
</file>