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 Work\Saheen sir\A. Mustofa\Data analysis\"/>
    </mc:Choice>
  </mc:AlternateContent>
  <xr:revisionPtr revIDLastSave="0" documentId="13_ncr:1_{A06A71EA-D39E-4A52-BE0E-72BC97995E6B}" xr6:coauthVersionLast="47" xr6:coauthVersionMax="47" xr10:uidLastSave="{00000000-0000-0000-0000-000000000000}"/>
  <bookViews>
    <workbookView xWindow="11424" yWindow="0" windowWidth="11712" windowHeight="12336" firstSheet="1" activeTab="1" xr2:uid="{00000000-000D-0000-FFFF-FFFF00000000}"/>
  </bookViews>
  <sheets>
    <sheet name="FrequencyTable" sheetId="1" r:id="rId1"/>
    <sheet name="TropFishR output" sheetId="2" r:id="rId2"/>
    <sheet name="Sheet1" sheetId="6" r:id="rId3"/>
  </sheets>
  <calcPr calcId="191029"/>
</workbook>
</file>

<file path=xl/calcChain.xml><?xml version="1.0" encoding="utf-8"?>
<calcChain xmlns="http://schemas.openxmlformats.org/spreadsheetml/2006/main">
  <c r="L2" i="2" l="1"/>
  <c r="D2" i="6"/>
  <c r="D4" i="6" s="1"/>
  <c r="D3" i="6"/>
  <c r="I23" i="6"/>
  <c r="M20" i="6"/>
  <c r="L20" i="6"/>
  <c r="D7" i="6"/>
  <c r="D8" i="6" s="1"/>
  <c r="D11" i="6"/>
  <c r="F11" i="6"/>
  <c r="F7" i="6"/>
  <c r="F8" i="6" s="1"/>
  <c r="L11" i="2"/>
  <c r="L7" i="2"/>
  <c r="L8" i="2" s="1"/>
  <c r="L3" i="2"/>
  <c r="L4" i="2"/>
  <c r="E10" i="2"/>
  <c r="F5" i="6" l="1"/>
  <c r="F2" i="6" s="1"/>
  <c r="F4" i="6" s="1"/>
</calcChain>
</file>

<file path=xl/sharedStrings.xml><?xml version="1.0" encoding="utf-8"?>
<sst xmlns="http://schemas.openxmlformats.org/spreadsheetml/2006/main" count="203" uniqueCount="155">
  <si>
    <t>Length</t>
  </si>
  <si>
    <t>14.01.22</t>
  </si>
  <si>
    <t>14.02.22</t>
  </si>
  <si>
    <t>14.03.22</t>
  </si>
  <si>
    <t>14.08.22</t>
  </si>
  <si>
    <t>14.09.22</t>
  </si>
  <si>
    <t>14.10.22</t>
  </si>
  <si>
    <t>14.11.22</t>
  </si>
  <si>
    <t>14.12.22</t>
  </si>
  <si>
    <t>$ASP</t>
  </si>
  <si>
    <t>[1] 7.863747</t>
  </si>
  <si>
    <t>$MA</t>
  </si>
  <si>
    <t>[1] 5</t>
  </si>
  <si>
    <t>$ncohort</t>
  </si>
  <si>
    <t>[1] 8</t>
  </si>
  <si>
    <t>$agemax</t>
  </si>
  <si>
    <t>[1] 6</t>
  </si>
  <si>
    <t>$par</t>
  </si>
  <si>
    <t>$par$Linf</t>
  </si>
  <si>
    <t>[1] 18.79651</t>
  </si>
  <si>
    <t>$par$K</t>
  </si>
  <si>
    <t>[1] 0.567876</t>
  </si>
  <si>
    <t>$par$t_anchor</t>
  </si>
  <si>
    <t>[1] 0.3772576</t>
  </si>
  <si>
    <t>$par$phiL</t>
  </si>
  <si>
    <t>[1] 2.302408</t>
  </si>
  <si>
    <t>$fESP</t>
  </si>
  <si>
    <t>[1] 0.2793116</t>
  </si>
  <si>
    <t>$Rn_max</t>
  </si>
  <si>
    <t>attr(,"class")</t>
  </si>
  <si>
    <t>[1] "lfq"</t>
  </si>
  <si>
    <t>&gt;</t>
  </si>
  <si>
    <t xml:space="preserve"> res_GA$par</t>
  </si>
  <si>
    <t>$Linf</t>
  </si>
  <si>
    <t>$K</t>
  </si>
  <si>
    <t>$t_anchor</t>
  </si>
  <si>
    <t>$phiL</t>
  </si>
  <si>
    <t xml:space="preserve"> Ms</t>
  </si>
  <si>
    <t xml:space="preserve">                         M</t>
  </si>
  <si>
    <t>Then (2015) - growth 1.035</t>
  </si>
  <si>
    <t>res_cc</t>
  </si>
  <si>
    <t>$dates</t>
  </si>
  <si>
    <t>[1] "2022-01-01"</t>
  </si>
  <si>
    <t>$midLengths</t>
  </si>
  <si>
    <t xml:space="preserve"> [1]  2  3  4  5  6  7  8  9 10 11 12 13 14 15 16</t>
  </si>
  <si>
    <t>$catch</t>
  </si>
  <si>
    <t xml:space="preserve"> [1]   2   2   9  88 235 243 318 225 141  92  84  37  18   3   3</t>
  </si>
  <si>
    <t>$par$M</t>
  </si>
  <si>
    <t>[1] 1.035</t>
  </si>
  <si>
    <t>$t_midL</t>
  </si>
  <si>
    <t xml:space="preserve"> [1] 0.1981068 0.3061975 0.4213594 0.5445829 0.6770823 0.8203684 0.9763546 1.1475130 1.3371162 1.5496254 1.7913454</t>
  </si>
  <si>
    <t>[12] 2.0716060 2.4050722 2.8167930 3.3551325</t>
  </si>
  <si>
    <t>$lnC_dt</t>
  </si>
  <si>
    <t xml:space="preserve"> [1] 2.948171 2.886750 4.325383 6.535462 7.442396 7.394414 7.574706 7.131405 6.556184 6.008239 5.779565 4.799833</t>
  </si>
  <si>
    <t>[13] 3.888769 1.861017       NA</t>
  </si>
  <si>
    <t>$reg_int</t>
  </si>
  <si>
    <t>[1]  7 14</t>
  </si>
  <si>
    <t>$linear_mod</t>
  </si>
  <si>
    <t>Call:</t>
  </si>
  <si>
    <t>lm(formula = yvar ~ xvar, data = df.CC.cut)</t>
  </si>
  <si>
    <t>Coefficients:</t>
  </si>
  <si>
    <t xml:space="preserve">(Intercept)         xvar  </t>
  </si>
  <si>
    <t xml:space="preserve">     10.576       -2.909  </t>
  </si>
  <si>
    <t>$Z</t>
  </si>
  <si>
    <t>[1] 2.90938</t>
  </si>
  <si>
    <t>$se</t>
  </si>
  <si>
    <t>[1] 0.1965697</t>
  </si>
  <si>
    <t>$confidenceInt</t>
  </si>
  <si>
    <t>[1] 2.428391 3.390368</t>
  </si>
  <si>
    <t>$intercept</t>
  </si>
  <si>
    <t>[1] 10.57608</t>
  </si>
  <si>
    <t>$linear_mod_sel</t>
  </si>
  <si>
    <t>lm(formula = ln_1_S_1 ~ t_ogive, na.action = na.omit)</t>
  </si>
  <si>
    <t xml:space="preserve">(Intercept)      t_ogive  </t>
  </si>
  <si>
    <t xml:space="preserve">       9.94       -12.61  </t>
  </si>
  <si>
    <t>$Sobs</t>
  </si>
  <si>
    <t>[1] 0.0008660703 0.0011154600 0.0065728638 0.0857583084 0.3122980922 0.4516235760</t>
  </si>
  <si>
    <t>$ln_1_S_1</t>
  </si>
  <si>
    <t>[1] 7.0506781 6.7973723 5.0182111 2.3665620 0.7893973 0.1941129</t>
  </si>
  <si>
    <t>$Sest</t>
  </si>
  <si>
    <t xml:space="preserve"> [1] 0.0005859222 0.0022859102 0.0096940807 0.0442501835 0.1975296723 0.5998997245 0.9146709444 0.9893382613</t>
  </si>
  <si>
    <t xml:space="preserve"> [9] 0.9990144182 0.9999323473 0.9999967898 0.9999999063 0.9999999986 1.0000000000 1.0000000000</t>
  </si>
  <si>
    <t>$t50</t>
  </si>
  <si>
    <t>[1] 0.7882476</t>
  </si>
  <si>
    <t>$t75</t>
  </si>
  <si>
    <t>[1] 0.8753691</t>
  </si>
  <si>
    <t>$t95</t>
  </si>
  <si>
    <t>[1] 1.021746</t>
  </si>
  <si>
    <t>$L50</t>
  </si>
  <si>
    <t>[1] 6.782849</t>
  </si>
  <si>
    <t>$L75</t>
  </si>
  <si>
    <t>[1] 7.362753</t>
  </si>
  <si>
    <t>$L95</t>
  </si>
  <si>
    <t>[1] 8.274742</t>
  </si>
  <si>
    <t>TB1$df_Es</t>
  </si>
  <si>
    <t xml:space="preserve">        F01     Fmax       F05 F04       E01      Emax       E05 E04  YPR_F01 YPR_Fmax  YPR_F05 YPR_F04 YPR_F01.1</t>
  </si>
  <si>
    <t>1 0.8316633 1.613226 0.5811623  NA 0.2858559 0.5544916 0.1997547  NA 1.706824 1.839503 1.528581      NA  2.467437</t>
  </si>
  <si>
    <t xml:space="preserve">  BPR_Fmax  BPR_F05 BPR_F04 SPR_F01 SPR_Fmax SPR_F05 SPR_F04</t>
  </si>
  <si>
    <t>1 1.545187 3.048754      NA      NA       NA      NA      NA</t>
  </si>
  <si>
    <t>&gt; TB1$currents</t>
  </si>
  <si>
    <t xml:space="preserve">  curr.Lc curr.tc    curr.E  curr.F    curr.C   curr.Y curr.V   curr.B curr.SSB curr.SPR</t>
  </si>
  <si>
    <t>1      NA      NA 0.6442541 1.87438 0.3390905 1.833545      0 1.379961        0      NaN</t>
  </si>
  <si>
    <t xml:space="preserve">M/K = </t>
  </si>
  <si>
    <t xml:space="preserve">M = </t>
  </si>
  <si>
    <t xml:space="preserve">K = </t>
  </si>
  <si>
    <t>Name</t>
  </si>
  <si>
    <t>labeo bata</t>
  </si>
  <si>
    <t>Lm</t>
  </si>
  <si>
    <t xml:space="preserve">Lmax = </t>
  </si>
  <si>
    <t>tm</t>
  </si>
  <si>
    <t>Linf</t>
  </si>
  <si>
    <t>K</t>
  </si>
  <si>
    <t>tmax</t>
  </si>
  <si>
    <t>M</t>
  </si>
  <si>
    <t>10*max C</t>
  </si>
  <si>
    <t>AVG</t>
  </si>
  <si>
    <t>5*max C</t>
  </si>
  <si>
    <t>Asymptotic length (L∞)</t>
  </si>
  <si>
    <t>Growth coefficient (K)</t>
  </si>
  <si>
    <t>Natural Mortality (M)</t>
  </si>
  <si>
    <t>Total Mortality (Z)</t>
  </si>
  <si>
    <t>Fishing Mortality (Fcurrent)</t>
  </si>
  <si>
    <t>Fmax</t>
  </si>
  <si>
    <t>F0.1</t>
  </si>
  <si>
    <t>F0.5</t>
  </si>
  <si>
    <t>Length at First Capture (LC50)</t>
  </si>
  <si>
    <t>Length at 95% capture (LC95)</t>
  </si>
  <si>
    <t>Regions</t>
  </si>
  <si>
    <t>Location</t>
  </si>
  <si>
    <r>
      <t>L</t>
    </r>
    <r>
      <rPr>
        <b/>
        <i/>
        <vertAlign val="subscript"/>
        <sz val="10"/>
        <color rgb="FF000000"/>
        <rFont val="Times New Roman"/>
        <family val="1"/>
      </rPr>
      <t>∞</t>
    </r>
  </si>
  <si>
    <t>(cm)</t>
  </si>
  <si>
    <t>F</t>
  </si>
  <si>
    <t>Z</t>
  </si>
  <si>
    <r>
      <t>L</t>
    </r>
    <r>
      <rPr>
        <b/>
        <i/>
        <vertAlign val="subscript"/>
        <sz val="10"/>
        <color rgb="FF000000"/>
        <rFont val="Times New Roman"/>
        <family val="1"/>
      </rPr>
      <t>50</t>
    </r>
  </si>
  <si>
    <r>
      <t>L</t>
    </r>
    <r>
      <rPr>
        <b/>
        <i/>
        <vertAlign val="subscript"/>
        <sz val="10"/>
        <color rgb="FF000000"/>
        <rFont val="Times New Roman"/>
        <family val="1"/>
      </rPr>
      <t>c50</t>
    </r>
  </si>
  <si>
    <t>F/K</t>
  </si>
  <si>
    <t>Z/K</t>
  </si>
  <si>
    <r>
      <t>B/B</t>
    </r>
    <r>
      <rPr>
        <b/>
        <i/>
        <vertAlign val="subscript"/>
        <sz val="10"/>
        <color rgb="FF000000"/>
        <rFont val="Times New Roman"/>
        <family val="1"/>
      </rPr>
      <t>0</t>
    </r>
  </si>
  <si>
    <t> Bangladesh</t>
  </si>
  <si>
    <t>Kaptai</t>
  </si>
  <si>
    <t>Lake</t>
  </si>
  <si>
    <t>Bangladesh</t>
  </si>
  <si>
    <t>Titas River</t>
  </si>
  <si>
    <t>Rabnabad</t>
  </si>
  <si>
    <t>Channel</t>
  </si>
  <si>
    <t>China</t>
  </si>
  <si>
    <t>Dongzhaigang Bay</t>
  </si>
  <si>
    <t>Indonesia</t>
  </si>
  <si>
    <t>Lapompakka</t>
  </si>
  <si>
    <t>Sidenreng</t>
  </si>
  <si>
    <t>Tempe</t>
  </si>
  <si>
    <t>Vietnam</t>
  </si>
  <si>
    <t>Mekong</t>
  </si>
  <si>
    <t>Delta</t>
  </si>
  <si>
    <t>4.8–6.1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</si>
</sst>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i/>
      <vertAlign val="sub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B05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2" fontId="9" fillId="0" borderId="0" xfId="0" applyNumberFormat="1" applyFont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G17" sqref="G17"/>
    </sheetView>
  </sheetViews>
  <sheetFormatPr defaultColWidth="11.5546875"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2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0</v>
      </c>
      <c r="H2" s="1">
        <v>1</v>
      </c>
      <c r="I2" s="1">
        <v>0</v>
      </c>
    </row>
    <row r="3" spans="1:9" x14ac:dyDescent="0.3">
      <c r="A3" s="1">
        <v>3</v>
      </c>
      <c r="B3" s="1">
        <v>0</v>
      </c>
      <c r="C3" s="1">
        <v>0</v>
      </c>
      <c r="D3" s="1">
        <v>2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3">
      <c r="A4" s="1">
        <v>4</v>
      </c>
      <c r="B4" s="1">
        <v>0</v>
      </c>
      <c r="C4" s="1">
        <v>0</v>
      </c>
      <c r="D4" s="1">
        <v>5</v>
      </c>
      <c r="E4" s="1">
        <v>0</v>
      </c>
      <c r="F4" s="1">
        <v>2</v>
      </c>
      <c r="G4" s="1">
        <v>0</v>
      </c>
      <c r="H4" s="1">
        <v>0</v>
      </c>
      <c r="I4" s="1">
        <v>2</v>
      </c>
    </row>
    <row r="5" spans="1:9" x14ac:dyDescent="0.3">
      <c r="A5" s="1">
        <v>5</v>
      </c>
      <c r="B5" s="1">
        <v>7</v>
      </c>
      <c r="C5" s="1">
        <v>6</v>
      </c>
      <c r="D5" s="1">
        <v>39</v>
      </c>
      <c r="E5" s="1">
        <v>0</v>
      </c>
      <c r="F5" s="1">
        <v>22</v>
      </c>
      <c r="G5" s="1">
        <v>10</v>
      </c>
      <c r="H5" s="1">
        <v>1</v>
      </c>
      <c r="I5" s="1">
        <v>3</v>
      </c>
    </row>
    <row r="6" spans="1:9" x14ac:dyDescent="0.3">
      <c r="A6" s="1">
        <v>6</v>
      </c>
      <c r="B6" s="1">
        <v>28</v>
      </c>
      <c r="C6" s="1">
        <v>33</v>
      </c>
      <c r="D6" s="1">
        <v>82</v>
      </c>
      <c r="E6" s="1">
        <v>6</v>
      </c>
      <c r="F6" s="1">
        <v>36</v>
      </c>
      <c r="G6" s="1">
        <v>18</v>
      </c>
      <c r="H6" s="1">
        <v>14</v>
      </c>
      <c r="I6" s="1">
        <v>18</v>
      </c>
    </row>
    <row r="7" spans="1:9" x14ac:dyDescent="0.3">
      <c r="A7" s="1">
        <v>7</v>
      </c>
      <c r="B7" s="1">
        <v>34</v>
      </c>
      <c r="C7" s="1">
        <v>36</v>
      </c>
      <c r="D7" s="1">
        <v>51</v>
      </c>
      <c r="E7" s="1">
        <v>22</v>
      </c>
      <c r="F7" s="1">
        <v>35</v>
      </c>
      <c r="G7" s="1">
        <v>23</v>
      </c>
      <c r="H7" s="1">
        <v>20</v>
      </c>
      <c r="I7" s="1">
        <v>22</v>
      </c>
    </row>
    <row r="8" spans="1:9" x14ac:dyDescent="0.3">
      <c r="A8" s="1">
        <v>8</v>
      </c>
      <c r="B8" s="1">
        <v>54</v>
      </c>
      <c r="C8" s="1">
        <v>54</v>
      </c>
      <c r="D8" s="1">
        <v>30</v>
      </c>
      <c r="E8" s="1">
        <v>42</v>
      </c>
      <c r="F8" s="1">
        <v>34</v>
      </c>
      <c r="G8" s="1">
        <v>27</v>
      </c>
      <c r="H8" s="1">
        <v>42</v>
      </c>
      <c r="I8" s="1">
        <v>35</v>
      </c>
    </row>
    <row r="9" spans="1:9" x14ac:dyDescent="0.3">
      <c r="A9" s="1">
        <v>9</v>
      </c>
      <c r="B9" s="1">
        <v>29</v>
      </c>
      <c r="C9" s="1">
        <v>27</v>
      </c>
      <c r="D9" s="1">
        <v>13</v>
      </c>
      <c r="E9" s="1">
        <v>34</v>
      </c>
      <c r="F9" s="1">
        <v>21</v>
      </c>
      <c r="G9" s="1">
        <v>29</v>
      </c>
      <c r="H9" s="1">
        <v>36</v>
      </c>
      <c r="I9" s="1">
        <v>36</v>
      </c>
    </row>
    <row r="10" spans="1:9" x14ac:dyDescent="0.3">
      <c r="A10" s="1">
        <v>10</v>
      </c>
      <c r="B10" s="1">
        <v>12</v>
      </c>
      <c r="C10" s="1">
        <v>14</v>
      </c>
      <c r="D10" s="1">
        <v>2</v>
      </c>
      <c r="E10" s="1">
        <v>28</v>
      </c>
      <c r="F10" s="1">
        <v>17</v>
      </c>
      <c r="G10" s="1">
        <v>19</v>
      </c>
      <c r="H10" s="1">
        <v>22</v>
      </c>
      <c r="I10" s="1">
        <v>27</v>
      </c>
    </row>
    <row r="11" spans="1:9" x14ac:dyDescent="0.3">
      <c r="A11" s="1">
        <v>11</v>
      </c>
      <c r="B11" s="1">
        <v>6</v>
      </c>
      <c r="C11" s="1">
        <v>10</v>
      </c>
      <c r="D11" s="1">
        <v>3</v>
      </c>
      <c r="E11" s="1">
        <v>16</v>
      </c>
      <c r="F11" s="1">
        <v>1</v>
      </c>
      <c r="G11" s="1">
        <v>16</v>
      </c>
      <c r="H11" s="1">
        <v>18</v>
      </c>
      <c r="I11" s="1">
        <v>22</v>
      </c>
    </row>
    <row r="12" spans="1:9" x14ac:dyDescent="0.3">
      <c r="A12" s="1">
        <v>12</v>
      </c>
      <c r="B12" s="1">
        <v>3</v>
      </c>
      <c r="C12" s="1">
        <v>21</v>
      </c>
      <c r="D12" s="1">
        <v>0</v>
      </c>
      <c r="E12" s="1">
        <v>16</v>
      </c>
      <c r="F12" s="1">
        <v>4</v>
      </c>
      <c r="G12" s="1">
        <v>20</v>
      </c>
      <c r="H12" s="1">
        <v>13</v>
      </c>
      <c r="I12" s="1">
        <v>7</v>
      </c>
    </row>
    <row r="13" spans="1:9" x14ac:dyDescent="0.3">
      <c r="A13" s="1">
        <v>13</v>
      </c>
      <c r="B13" s="1">
        <v>1</v>
      </c>
      <c r="C13" s="1">
        <v>13</v>
      </c>
      <c r="D13" s="1">
        <v>0</v>
      </c>
      <c r="E13" s="1">
        <v>6</v>
      </c>
      <c r="F13" s="1">
        <v>1</v>
      </c>
      <c r="G13" s="1">
        <v>8</v>
      </c>
      <c r="H13" s="1">
        <v>6</v>
      </c>
      <c r="I13" s="1">
        <v>2</v>
      </c>
    </row>
    <row r="14" spans="1:9" x14ac:dyDescent="0.3">
      <c r="A14" s="1">
        <v>14</v>
      </c>
      <c r="B14" s="1">
        <v>0</v>
      </c>
      <c r="C14" s="1">
        <v>6</v>
      </c>
      <c r="D14" s="1">
        <v>0</v>
      </c>
      <c r="E14" s="1">
        <v>4</v>
      </c>
      <c r="F14" s="1">
        <v>1</v>
      </c>
      <c r="G14" s="1">
        <v>4</v>
      </c>
      <c r="H14" s="1">
        <v>2</v>
      </c>
      <c r="I14" s="1">
        <v>1</v>
      </c>
    </row>
    <row r="15" spans="1:9" x14ac:dyDescent="0.3">
      <c r="A15" s="1">
        <v>15</v>
      </c>
      <c r="B15" s="1">
        <v>1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</row>
    <row r="16" spans="1:9" x14ac:dyDescent="0.3">
      <c r="A16" s="1">
        <v>16</v>
      </c>
      <c r="B16" s="1">
        <v>0</v>
      </c>
      <c r="C16" s="1">
        <v>2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B9A9-3306-450C-B4F6-5E947C0C14A8}">
  <dimension ref="A1:N98"/>
  <sheetViews>
    <sheetView tabSelected="1" topLeftCell="E1" workbookViewId="0">
      <selection activeCell="L13" sqref="L13"/>
    </sheetView>
  </sheetViews>
  <sheetFormatPr defaultRowHeight="14.4" x14ac:dyDescent="0.3"/>
  <cols>
    <col min="1" max="1" width="13.109375" bestFit="1" customWidth="1"/>
    <col min="2" max="2" width="2.6640625" style="2" customWidth="1"/>
    <col min="3" max="3" width="12.33203125" bestFit="1" customWidth="1"/>
    <col min="4" max="4" width="2.6640625" style="2" customWidth="1"/>
    <col min="5" max="5" width="23.21875" bestFit="1" customWidth="1"/>
    <col min="6" max="6" width="2.6640625" style="2" customWidth="1"/>
    <col min="7" max="7" width="15.21875" customWidth="1"/>
    <col min="8" max="8" width="2.6640625" style="2" customWidth="1"/>
    <col min="13" max="13" width="2.6640625" style="2" customWidth="1"/>
    <col min="14" max="14" width="101.6640625" bestFit="1" customWidth="1"/>
  </cols>
  <sheetData>
    <row r="1" spans="1:14" x14ac:dyDescent="0.3">
      <c r="A1" t="s">
        <v>9</v>
      </c>
      <c r="C1" t="s">
        <v>32</v>
      </c>
      <c r="E1" t="s">
        <v>37</v>
      </c>
      <c r="G1" t="s">
        <v>40</v>
      </c>
      <c r="K1" s="5" t="s">
        <v>105</v>
      </c>
      <c r="L1" s="6" t="s">
        <v>106</v>
      </c>
      <c r="N1" t="s">
        <v>94</v>
      </c>
    </row>
    <row r="2" spans="1:14" x14ac:dyDescent="0.3">
      <c r="A2" t="s">
        <v>10</v>
      </c>
      <c r="C2" t="s">
        <v>33</v>
      </c>
      <c r="E2" t="s">
        <v>38</v>
      </c>
      <c r="G2" t="s">
        <v>41</v>
      </c>
      <c r="K2" s="3" t="s">
        <v>107</v>
      </c>
      <c r="L2" s="8">
        <f>10^((0.8979*LOG(L5))-0.0782)</f>
        <v>11.637677898589283</v>
      </c>
      <c r="N2" t="s">
        <v>95</v>
      </c>
    </row>
    <row r="3" spans="1:14" x14ac:dyDescent="0.3">
      <c r="C3" t="s">
        <v>19</v>
      </c>
      <c r="E3" t="s">
        <v>39</v>
      </c>
      <c r="G3" t="s">
        <v>42</v>
      </c>
      <c r="K3" s="5" t="s">
        <v>108</v>
      </c>
      <c r="L3" s="7">
        <f>L5*0.95</f>
        <v>17.86</v>
      </c>
      <c r="N3" t="s">
        <v>96</v>
      </c>
    </row>
    <row r="4" spans="1:14" x14ac:dyDescent="0.3">
      <c r="A4" t="s">
        <v>11</v>
      </c>
      <c r="C4" s="3">
        <v>18.8</v>
      </c>
      <c r="E4" t="s">
        <v>103</v>
      </c>
      <c r="K4" s="5" t="s">
        <v>109</v>
      </c>
      <c r="L4" s="7">
        <f>-(1/L6)*LN(1-(L2/L5))</f>
        <v>2.0104638033393285</v>
      </c>
      <c r="N4" t="s">
        <v>97</v>
      </c>
    </row>
    <row r="5" spans="1:14" x14ac:dyDescent="0.3">
      <c r="A5" t="s">
        <v>12</v>
      </c>
      <c r="C5" t="s">
        <v>34</v>
      </c>
      <c r="E5">
        <v>1.04</v>
      </c>
      <c r="G5" t="s">
        <v>43</v>
      </c>
      <c r="K5" s="3" t="s">
        <v>110</v>
      </c>
      <c r="L5" s="8">
        <v>18.8</v>
      </c>
      <c r="N5" t="s">
        <v>98</v>
      </c>
    </row>
    <row r="6" spans="1:14" x14ac:dyDescent="0.3">
      <c r="C6" t="s">
        <v>21</v>
      </c>
      <c r="E6" t="s">
        <v>104</v>
      </c>
      <c r="G6" t="s">
        <v>44</v>
      </c>
      <c r="K6" s="5" t="s">
        <v>111</v>
      </c>
      <c r="L6" s="7">
        <v>0.48</v>
      </c>
      <c r="N6" t="s">
        <v>99</v>
      </c>
    </row>
    <row r="7" spans="1:14" x14ac:dyDescent="0.3">
      <c r="A7" t="s">
        <v>13</v>
      </c>
      <c r="E7">
        <v>0.56999999999999995</v>
      </c>
      <c r="K7" s="5" t="s">
        <v>112</v>
      </c>
      <c r="L7" s="7">
        <f>3/L6</f>
        <v>6.25</v>
      </c>
      <c r="N7" t="s">
        <v>100</v>
      </c>
    </row>
    <row r="8" spans="1:14" x14ac:dyDescent="0.3">
      <c r="A8" t="s">
        <v>14</v>
      </c>
      <c r="C8" t="s">
        <v>35</v>
      </c>
      <c r="G8" t="s">
        <v>45</v>
      </c>
      <c r="K8" s="5" t="s">
        <v>113</v>
      </c>
      <c r="L8" s="7">
        <f>EXP(1.44-0.982*LN(L7))</f>
        <v>0.69795894402310132</v>
      </c>
      <c r="N8" t="s">
        <v>101</v>
      </c>
    </row>
    <row r="9" spans="1:14" x14ac:dyDescent="0.3">
      <c r="C9" t="s">
        <v>23</v>
      </c>
      <c r="E9" t="s">
        <v>102</v>
      </c>
      <c r="G9" t="s">
        <v>46</v>
      </c>
      <c r="K9" s="5" t="s">
        <v>114</v>
      </c>
      <c r="L9" s="6">
        <v>1558520</v>
      </c>
    </row>
    <row r="10" spans="1:14" x14ac:dyDescent="0.3">
      <c r="A10" t="s">
        <v>15</v>
      </c>
      <c r="C10">
        <v>0.38</v>
      </c>
      <c r="E10" s="4">
        <f>E5/E7</f>
        <v>1.8245614035087721</v>
      </c>
      <c r="K10" s="5" t="s">
        <v>115</v>
      </c>
      <c r="L10" s="6">
        <v>37000</v>
      </c>
    </row>
    <row r="11" spans="1:14" x14ac:dyDescent="0.3">
      <c r="A11" t="s">
        <v>16</v>
      </c>
      <c r="C11" t="s">
        <v>36</v>
      </c>
      <c r="G11" t="s">
        <v>17</v>
      </c>
      <c r="K11" s="5" t="s">
        <v>116</v>
      </c>
      <c r="L11" s="6">
        <f>L9/2</f>
        <v>779260</v>
      </c>
    </row>
    <row r="12" spans="1:14" x14ac:dyDescent="0.3">
      <c r="C12" t="s">
        <v>25</v>
      </c>
      <c r="G12" t="s">
        <v>18</v>
      </c>
    </row>
    <row r="13" spans="1:14" x14ac:dyDescent="0.3">
      <c r="A13" t="s">
        <v>17</v>
      </c>
      <c r="C13">
        <v>2.302</v>
      </c>
      <c r="G13" t="s">
        <v>19</v>
      </c>
    </row>
    <row r="14" spans="1:14" x14ac:dyDescent="0.3">
      <c r="A14" t="s">
        <v>18</v>
      </c>
    </row>
    <row r="15" spans="1:14" x14ac:dyDescent="0.3">
      <c r="A15" t="s">
        <v>19</v>
      </c>
      <c r="G15" t="s">
        <v>20</v>
      </c>
    </row>
    <row r="16" spans="1:14" x14ac:dyDescent="0.3">
      <c r="G16" t="s">
        <v>21</v>
      </c>
    </row>
    <row r="17" spans="1:7" x14ac:dyDescent="0.3">
      <c r="A17" t="s">
        <v>20</v>
      </c>
    </row>
    <row r="18" spans="1:7" x14ac:dyDescent="0.3">
      <c r="A18" t="s">
        <v>21</v>
      </c>
      <c r="G18" t="s">
        <v>22</v>
      </c>
    </row>
    <row r="19" spans="1:7" x14ac:dyDescent="0.3">
      <c r="G19" t="s">
        <v>23</v>
      </c>
    </row>
    <row r="20" spans="1:7" x14ac:dyDescent="0.3">
      <c r="A20" t="s">
        <v>22</v>
      </c>
    </row>
    <row r="21" spans="1:7" x14ac:dyDescent="0.3">
      <c r="A21" t="s">
        <v>23</v>
      </c>
      <c r="G21" t="s">
        <v>24</v>
      </c>
    </row>
    <row r="22" spans="1:7" x14ac:dyDescent="0.3">
      <c r="G22" t="s">
        <v>25</v>
      </c>
    </row>
    <row r="23" spans="1:7" x14ac:dyDescent="0.3">
      <c r="A23" t="s">
        <v>24</v>
      </c>
    </row>
    <row r="24" spans="1:7" x14ac:dyDescent="0.3">
      <c r="A24" t="s">
        <v>25</v>
      </c>
      <c r="G24" t="s">
        <v>47</v>
      </c>
    </row>
    <row r="25" spans="1:7" x14ac:dyDescent="0.3">
      <c r="G25" t="s">
        <v>48</v>
      </c>
    </row>
    <row r="27" spans="1:7" x14ac:dyDescent="0.3">
      <c r="A27" t="s">
        <v>26</v>
      </c>
    </row>
    <row r="28" spans="1:7" x14ac:dyDescent="0.3">
      <c r="A28" t="s">
        <v>27</v>
      </c>
      <c r="G28" t="s">
        <v>49</v>
      </c>
    </row>
    <row r="29" spans="1:7" x14ac:dyDescent="0.3">
      <c r="G29" t="s">
        <v>50</v>
      </c>
    </row>
    <row r="30" spans="1:7" x14ac:dyDescent="0.3">
      <c r="A30" t="s">
        <v>28</v>
      </c>
      <c r="G30" t="s">
        <v>51</v>
      </c>
    </row>
    <row r="31" spans="1:7" x14ac:dyDescent="0.3">
      <c r="A31" t="s">
        <v>27</v>
      </c>
    </row>
    <row r="32" spans="1:7" x14ac:dyDescent="0.3">
      <c r="G32" t="s">
        <v>52</v>
      </c>
    </row>
    <row r="33" spans="1:7" x14ac:dyDescent="0.3">
      <c r="A33" t="s">
        <v>29</v>
      </c>
      <c r="G33" t="s">
        <v>53</v>
      </c>
    </row>
    <row r="34" spans="1:7" x14ac:dyDescent="0.3">
      <c r="A34" t="s">
        <v>30</v>
      </c>
      <c r="G34" t="s">
        <v>54</v>
      </c>
    </row>
    <row r="36" spans="1:7" x14ac:dyDescent="0.3">
      <c r="A36" t="s">
        <v>31</v>
      </c>
      <c r="G36" t="s">
        <v>55</v>
      </c>
    </row>
    <row r="37" spans="1:7" x14ac:dyDescent="0.3">
      <c r="G37" t="s">
        <v>56</v>
      </c>
    </row>
    <row r="39" spans="1:7" x14ac:dyDescent="0.3">
      <c r="G39" t="s">
        <v>57</v>
      </c>
    </row>
    <row r="41" spans="1:7" x14ac:dyDescent="0.3">
      <c r="G41" t="s">
        <v>58</v>
      </c>
    </row>
    <row r="42" spans="1:7" x14ac:dyDescent="0.3">
      <c r="G42" t="s">
        <v>59</v>
      </c>
    </row>
    <row r="44" spans="1:7" x14ac:dyDescent="0.3">
      <c r="G44" t="s">
        <v>60</v>
      </c>
    </row>
    <row r="45" spans="1:7" x14ac:dyDescent="0.3">
      <c r="G45" t="s">
        <v>61</v>
      </c>
    </row>
    <row r="46" spans="1:7" x14ac:dyDescent="0.3">
      <c r="G46" t="s">
        <v>62</v>
      </c>
    </row>
    <row r="49" spans="7:7" x14ac:dyDescent="0.3">
      <c r="G49" t="s">
        <v>63</v>
      </c>
    </row>
    <row r="50" spans="7:7" x14ac:dyDescent="0.3">
      <c r="G50" t="s">
        <v>64</v>
      </c>
    </row>
    <row r="51" spans="7:7" x14ac:dyDescent="0.3">
      <c r="G51">
        <v>2.91</v>
      </c>
    </row>
    <row r="52" spans="7:7" x14ac:dyDescent="0.3">
      <c r="G52" t="s">
        <v>65</v>
      </c>
    </row>
    <row r="53" spans="7:7" x14ac:dyDescent="0.3">
      <c r="G53" t="s">
        <v>66</v>
      </c>
    </row>
    <row r="55" spans="7:7" x14ac:dyDescent="0.3">
      <c r="G55" t="s">
        <v>67</v>
      </c>
    </row>
    <row r="56" spans="7:7" x14ac:dyDescent="0.3">
      <c r="G56" t="s">
        <v>68</v>
      </c>
    </row>
    <row r="58" spans="7:7" x14ac:dyDescent="0.3">
      <c r="G58" t="s">
        <v>69</v>
      </c>
    </row>
    <row r="59" spans="7:7" x14ac:dyDescent="0.3">
      <c r="G59" t="s">
        <v>70</v>
      </c>
    </row>
    <row r="61" spans="7:7" x14ac:dyDescent="0.3">
      <c r="G61" t="s">
        <v>71</v>
      </c>
    </row>
    <row r="63" spans="7:7" x14ac:dyDescent="0.3">
      <c r="G63" t="s">
        <v>58</v>
      </c>
    </row>
    <row r="64" spans="7:7" x14ac:dyDescent="0.3">
      <c r="G64" t="s">
        <v>72</v>
      </c>
    </row>
    <row r="66" spans="7:7" x14ac:dyDescent="0.3">
      <c r="G66" t="s">
        <v>60</v>
      </c>
    </row>
    <row r="67" spans="7:7" x14ac:dyDescent="0.3">
      <c r="G67" t="s">
        <v>73</v>
      </c>
    </row>
    <row r="68" spans="7:7" x14ac:dyDescent="0.3">
      <c r="G68" t="s">
        <v>74</v>
      </c>
    </row>
    <row r="71" spans="7:7" x14ac:dyDescent="0.3">
      <c r="G71" t="s">
        <v>75</v>
      </c>
    </row>
    <row r="72" spans="7:7" x14ac:dyDescent="0.3">
      <c r="G72" t="s">
        <v>76</v>
      </c>
    </row>
    <row r="74" spans="7:7" x14ac:dyDescent="0.3">
      <c r="G74" t="s">
        <v>77</v>
      </c>
    </row>
    <row r="75" spans="7:7" x14ac:dyDescent="0.3">
      <c r="G75" t="s">
        <v>78</v>
      </c>
    </row>
    <row r="77" spans="7:7" x14ac:dyDescent="0.3">
      <c r="G77" t="s">
        <v>79</v>
      </c>
    </row>
    <row r="78" spans="7:7" x14ac:dyDescent="0.3">
      <c r="G78" t="s">
        <v>80</v>
      </c>
    </row>
    <row r="79" spans="7:7" x14ac:dyDescent="0.3">
      <c r="G79" t="s">
        <v>81</v>
      </c>
    </row>
    <row r="81" spans="7:7" x14ac:dyDescent="0.3">
      <c r="G81" t="s">
        <v>82</v>
      </c>
    </row>
    <row r="82" spans="7:7" x14ac:dyDescent="0.3">
      <c r="G82" t="s">
        <v>83</v>
      </c>
    </row>
    <row r="84" spans="7:7" x14ac:dyDescent="0.3">
      <c r="G84" t="s">
        <v>84</v>
      </c>
    </row>
    <row r="85" spans="7:7" x14ac:dyDescent="0.3">
      <c r="G85" t="s">
        <v>85</v>
      </c>
    </row>
    <row r="87" spans="7:7" x14ac:dyDescent="0.3">
      <c r="G87" t="s">
        <v>86</v>
      </c>
    </row>
    <row r="88" spans="7:7" x14ac:dyDescent="0.3">
      <c r="G88" t="s">
        <v>87</v>
      </c>
    </row>
    <row r="90" spans="7:7" x14ac:dyDescent="0.3">
      <c r="G90" t="s">
        <v>88</v>
      </c>
    </row>
    <row r="91" spans="7:7" x14ac:dyDescent="0.3">
      <c r="G91" t="s">
        <v>89</v>
      </c>
    </row>
    <row r="92" spans="7:7" x14ac:dyDescent="0.3">
      <c r="G92">
        <v>6.78</v>
      </c>
    </row>
    <row r="93" spans="7:7" x14ac:dyDescent="0.3">
      <c r="G93" t="s">
        <v>90</v>
      </c>
    </row>
    <row r="94" spans="7:7" x14ac:dyDescent="0.3">
      <c r="G94" t="s">
        <v>91</v>
      </c>
    </row>
    <row r="96" spans="7:7" x14ac:dyDescent="0.3">
      <c r="G96" t="s">
        <v>92</v>
      </c>
    </row>
    <row r="97" spans="7:7" x14ac:dyDescent="0.3">
      <c r="G97" t="s">
        <v>93</v>
      </c>
    </row>
    <row r="98" spans="7:7" x14ac:dyDescent="0.3">
      <c r="G98">
        <v>8.27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C3B9-FB17-4C43-84A5-EABC938FA30A}">
  <dimension ref="A1:N31"/>
  <sheetViews>
    <sheetView topLeftCell="B1" zoomScale="70" zoomScaleNormal="70" workbookViewId="0">
      <selection activeCell="J11" sqref="J11"/>
    </sheetView>
  </sheetViews>
  <sheetFormatPr defaultRowHeight="14.4" x14ac:dyDescent="0.3"/>
  <cols>
    <col min="1" max="1" width="25.21875" bestFit="1" customWidth="1"/>
    <col min="2" max="2" width="10.21875" style="1" bestFit="1" customWidth="1"/>
    <col min="5" max="5" width="9" bestFit="1" customWidth="1"/>
    <col min="6" max="6" width="9.6640625" bestFit="1" customWidth="1"/>
    <col min="12" max="12" width="11.44140625" bestFit="1" customWidth="1"/>
  </cols>
  <sheetData>
    <row r="1" spans="1:14" x14ac:dyDescent="0.3">
      <c r="A1" t="s">
        <v>117</v>
      </c>
      <c r="B1" s="1">
        <v>18.8</v>
      </c>
      <c r="C1" s="5" t="s">
        <v>105</v>
      </c>
      <c r="D1" s="6" t="s">
        <v>106</v>
      </c>
      <c r="E1" s="5" t="s">
        <v>105</v>
      </c>
      <c r="F1" s="6" t="s">
        <v>106</v>
      </c>
    </row>
    <row r="2" spans="1:14" x14ac:dyDescent="0.3">
      <c r="A2" t="s">
        <v>118</v>
      </c>
      <c r="B2" s="1">
        <v>0.56999999999999995</v>
      </c>
      <c r="C2" s="3" t="s">
        <v>107</v>
      </c>
      <c r="D2" s="8">
        <f>10^(0.8979*(LOG(D5)-0.0782))</f>
        <v>12.305547650638442</v>
      </c>
      <c r="E2" s="3" t="s">
        <v>107</v>
      </c>
      <c r="F2" s="8">
        <f>10^(0.8979*(LOG(F5)-0.0782))</f>
        <v>9.8914195711179396</v>
      </c>
    </row>
    <row r="3" spans="1:14" x14ac:dyDescent="0.3">
      <c r="A3" t="s">
        <v>119</v>
      </c>
      <c r="B3" s="1">
        <v>1.04</v>
      </c>
      <c r="C3" s="5" t="s">
        <v>108</v>
      </c>
      <c r="D3" s="7">
        <f>D5*0.95</f>
        <v>18.62</v>
      </c>
      <c r="E3" s="5" t="s">
        <v>108</v>
      </c>
      <c r="F3" s="7">
        <v>14.6</v>
      </c>
    </row>
    <row r="4" spans="1:14" x14ac:dyDescent="0.3">
      <c r="A4" t="s">
        <v>120</v>
      </c>
      <c r="B4" s="1">
        <v>2.91</v>
      </c>
      <c r="C4" s="5" t="s">
        <v>109</v>
      </c>
      <c r="D4" s="7">
        <f>-(1/D6)*LN(1-(D2/D5))</f>
        <v>0.72677607289293278</v>
      </c>
      <c r="E4" s="5" t="s">
        <v>109</v>
      </c>
      <c r="F4" s="7">
        <f>-(1/F6)*LN(1-(F2/F5))</f>
        <v>2.1494938475062648</v>
      </c>
    </row>
    <row r="5" spans="1:14" x14ac:dyDescent="0.3">
      <c r="A5" t="s">
        <v>121</v>
      </c>
      <c r="B5" s="1">
        <v>1.87</v>
      </c>
      <c r="C5" s="3" t="s">
        <v>110</v>
      </c>
      <c r="D5" s="8">
        <v>19.600000000000001</v>
      </c>
      <c r="E5" s="3" t="s">
        <v>110</v>
      </c>
      <c r="F5" s="8">
        <f>F3/0.95</f>
        <v>15.368421052631579</v>
      </c>
    </row>
    <row r="6" spans="1:14" x14ac:dyDescent="0.3">
      <c r="A6" t="s">
        <v>122</v>
      </c>
      <c r="B6" s="1">
        <v>1.61</v>
      </c>
      <c r="C6" s="5" t="s">
        <v>111</v>
      </c>
      <c r="D6" s="7">
        <v>1.36</v>
      </c>
      <c r="E6" s="5" t="s">
        <v>111</v>
      </c>
      <c r="F6" s="7">
        <v>0.48</v>
      </c>
    </row>
    <row r="7" spans="1:14" x14ac:dyDescent="0.3">
      <c r="A7" t="s">
        <v>123</v>
      </c>
      <c r="B7" s="1">
        <v>0.83</v>
      </c>
      <c r="C7" s="5" t="s">
        <v>112</v>
      </c>
      <c r="D7" s="7">
        <f>3/D6</f>
        <v>2.2058823529411762</v>
      </c>
      <c r="E7" s="5" t="s">
        <v>112</v>
      </c>
      <c r="F7" s="7">
        <f>3/F6</f>
        <v>6.25</v>
      </c>
    </row>
    <row r="8" spans="1:14" x14ac:dyDescent="0.3">
      <c r="A8" t="s">
        <v>124</v>
      </c>
      <c r="B8" s="1">
        <v>0.57999999999999996</v>
      </c>
      <c r="C8" s="5" t="s">
        <v>113</v>
      </c>
      <c r="D8" s="7">
        <f>EXP(1.44-0.982*LN(D7))</f>
        <v>1.9408241601463208</v>
      </c>
      <c r="E8" s="5" t="s">
        <v>113</v>
      </c>
      <c r="F8" s="7">
        <f>EXP(1.44-0.982*LN(F7))</f>
        <v>0.69795894402310132</v>
      </c>
    </row>
    <row r="9" spans="1:14" x14ac:dyDescent="0.3">
      <c r="A9" t="s">
        <v>125</v>
      </c>
      <c r="B9" s="1">
        <v>6.78</v>
      </c>
      <c r="C9" s="5" t="s">
        <v>114</v>
      </c>
      <c r="D9" s="6">
        <v>1558520</v>
      </c>
      <c r="E9" s="5" t="s">
        <v>114</v>
      </c>
      <c r="F9" s="6">
        <v>1558520</v>
      </c>
    </row>
    <row r="10" spans="1:14" x14ac:dyDescent="0.3">
      <c r="A10" t="s">
        <v>126</v>
      </c>
      <c r="B10" s="1">
        <v>8.27</v>
      </c>
      <c r="C10" s="5" t="s">
        <v>115</v>
      </c>
      <c r="D10" s="6">
        <v>37000</v>
      </c>
      <c r="E10" s="5" t="s">
        <v>115</v>
      </c>
      <c r="F10" s="6">
        <v>37000</v>
      </c>
    </row>
    <row r="11" spans="1:14" x14ac:dyDescent="0.3">
      <c r="C11" s="5" t="s">
        <v>116</v>
      </c>
      <c r="D11" s="6">
        <f>D9/2</f>
        <v>779260</v>
      </c>
      <c r="E11" s="5" t="s">
        <v>116</v>
      </c>
      <c r="F11" s="6">
        <f>F9/2</f>
        <v>779260</v>
      </c>
    </row>
    <row r="14" spans="1:14" ht="15" thickBot="1" x14ac:dyDescent="0.35"/>
    <row r="15" spans="1:14" ht="15.6" thickTop="1" x14ac:dyDescent="0.3">
      <c r="C15" s="31" t="s">
        <v>127</v>
      </c>
      <c r="D15" s="31" t="s">
        <v>128</v>
      </c>
      <c r="E15" s="9" t="s">
        <v>129</v>
      </c>
      <c r="F15" s="33" t="s">
        <v>111</v>
      </c>
      <c r="G15" s="33" t="s">
        <v>113</v>
      </c>
      <c r="H15" s="33" t="s">
        <v>131</v>
      </c>
      <c r="I15" s="29" t="s">
        <v>132</v>
      </c>
      <c r="J15" s="29" t="s">
        <v>133</v>
      </c>
      <c r="K15" s="29" t="s">
        <v>134</v>
      </c>
      <c r="L15" s="29" t="s">
        <v>135</v>
      </c>
      <c r="M15" s="29" t="s">
        <v>136</v>
      </c>
      <c r="N15" s="29" t="s">
        <v>137</v>
      </c>
    </row>
    <row r="16" spans="1:14" ht="15" thickBot="1" x14ac:dyDescent="0.35">
      <c r="C16" s="32"/>
      <c r="D16" s="32"/>
      <c r="E16" s="10" t="s">
        <v>130</v>
      </c>
      <c r="F16" s="34"/>
      <c r="G16" s="34"/>
      <c r="H16" s="34"/>
      <c r="I16" s="30"/>
      <c r="J16" s="30"/>
      <c r="K16" s="30"/>
      <c r="L16" s="30"/>
      <c r="M16" s="30"/>
      <c r="N16" s="30"/>
    </row>
    <row r="17" spans="3:14" ht="15" thickTop="1" x14ac:dyDescent="0.3">
      <c r="C17" s="25" t="s">
        <v>138</v>
      </c>
      <c r="D17" s="11" t="s">
        <v>139</v>
      </c>
      <c r="E17" s="26">
        <v>18.8</v>
      </c>
      <c r="F17" s="26">
        <v>0.56999999999999995</v>
      </c>
      <c r="G17" s="26">
        <v>1.04</v>
      </c>
      <c r="H17" s="28">
        <v>1.7</v>
      </c>
      <c r="I17" s="25">
        <v>2.91</v>
      </c>
      <c r="J17" s="25">
        <v>9.1300000000000008</v>
      </c>
      <c r="K17" s="25">
        <v>6.45</v>
      </c>
      <c r="L17" s="25">
        <v>0.08</v>
      </c>
      <c r="M17" s="25">
        <v>0.75</v>
      </c>
      <c r="N17" s="25">
        <v>0.27</v>
      </c>
    </row>
    <row r="18" spans="3:14" x14ac:dyDescent="0.3">
      <c r="C18" s="20"/>
      <c r="D18" s="11" t="s">
        <v>140</v>
      </c>
      <c r="E18" s="27"/>
      <c r="F18" s="27"/>
      <c r="G18" s="27"/>
      <c r="H18" s="22"/>
      <c r="I18" s="20"/>
      <c r="J18" s="20"/>
      <c r="K18" s="20"/>
      <c r="L18" s="20"/>
      <c r="M18" s="20"/>
      <c r="N18" s="20"/>
    </row>
    <row r="19" spans="3:14" ht="26.4" x14ac:dyDescent="0.3">
      <c r="C19" s="11" t="s">
        <v>141</v>
      </c>
      <c r="D19" s="11" t="s">
        <v>142</v>
      </c>
      <c r="E19" s="12">
        <v>19.600000000000001</v>
      </c>
      <c r="F19" s="12">
        <v>1.36</v>
      </c>
      <c r="G19" s="12"/>
      <c r="H19" s="12"/>
      <c r="I19" s="15"/>
      <c r="J19" s="15"/>
      <c r="K19" s="15"/>
      <c r="L19" s="15"/>
      <c r="M19" s="15"/>
      <c r="N19" s="15"/>
    </row>
    <row r="20" spans="3:14" x14ac:dyDescent="0.3">
      <c r="C20" s="20" t="s">
        <v>141</v>
      </c>
      <c r="D20" s="11" t="s">
        <v>143</v>
      </c>
      <c r="E20" s="22">
        <v>25</v>
      </c>
      <c r="F20" s="22">
        <v>1.1000000000000001</v>
      </c>
      <c r="G20" s="22">
        <v>2</v>
      </c>
      <c r="H20" s="22">
        <v>0.4</v>
      </c>
      <c r="I20" s="16">
        <v>2.42</v>
      </c>
      <c r="J20" s="16">
        <v>8.5</v>
      </c>
      <c r="K20" s="16">
        <v>9.8000000000000007</v>
      </c>
      <c r="L20" s="24">
        <f>H20/F20</f>
        <v>0.36363636363636365</v>
      </c>
      <c r="M20" s="18">
        <f>I20/F20</f>
        <v>2.1999999999999997</v>
      </c>
      <c r="N20" s="18"/>
    </row>
    <row r="21" spans="3:14" x14ac:dyDescent="0.3">
      <c r="C21" s="20"/>
      <c r="D21" s="11" t="s">
        <v>144</v>
      </c>
      <c r="E21" s="22"/>
      <c r="F21" s="22"/>
      <c r="G21" s="22"/>
      <c r="H21" s="22"/>
      <c r="I21" s="16"/>
      <c r="J21" s="16"/>
      <c r="K21" s="16"/>
      <c r="L21" s="24"/>
      <c r="M21" s="18"/>
      <c r="N21" s="18"/>
    </row>
    <row r="22" spans="3:14" ht="26.4" x14ac:dyDescent="0.3">
      <c r="C22" s="11" t="s">
        <v>145</v>
      </c>
      <c r="D22" s="11" t="s">
        <v>146</v>
      </c>
      <c r="E22" s="12">
        <v>22.2</v>
      </c>
      <c r="F22" s="12"/>
      <c r="G22" s="12"/>
      <c r="H22" s="12"/>
      <c r="I22" s="13"/>
      <c r="J22" s="13"/>
      <c r="K22" s="13"/>
      <c r="L22" s="13">
        <v>7.38</v>
      </c>
      <c r="M22" s="13">
        <v>8.8000000000000007</v>
      </c>
      <c r="N22" s="13">
        <v>0.03</v>
      </c>
    </row>
    <row r="23" spans="3:14" ht="26.4" x14ac:dyDescent="0.3">
      <c r="C23" s="20" t="s">
        <v>147</v>
      </c>
      <c r="D23" s="11" t="s">
        <v>148</v>
      </c>
      <c r="E23" s="22">
        <v>22.5</v>
      </c>
      <c r="F23" s="22">
        <v>0.6</v>
      </c>
      <c r="G23" s="22">
        <v>0.79</v>
      </c>
      <c r="H23" s="22">
        <v>0.2</v>
      </c>
      <c r="I23" s="18">
        <f>G23+H23</f>
        <v>0.99</v>
      </c>
      <c r="J23" s="18"/>
      <c r="K23" s="18"/>
      <c r="L23" s="18"/>
      <c r="M23" s="18"/>
      <c r="N23" s="18"/>
    </row>
    <row r="24" spans="3:14" x14ac:dyDescent="0.3">
      <c r="C24" s="20"/>
      <c r="D24" s="11" t="s">
        <v>140</v>
      </c>
      <c r="E24" s="22"/>
      <c r="F24" s="22"/>
      <c r="G24" s="22"/>
      <c r="H24" s="22"/>
      <c r="I24" s="18"/>
      <c r="J24" s="18"/>
      <c r="K24" s="18"/>
      <c r="L24" s="18"/>
      <c r="M24" s="18"/>
      <c r="N24" s="18"/>
    </row>
    <row r="25" spans="3:14" x14ac:dyDescent="0.3">
      <c r="C25" s="20" t="s">
        <v>147</v>
      </c>
      <c r="D25" s="11" t="s">
        <v>149</v>
      </c>
      <c r="E25" s="22">
        <v>28.6</v>
      </c>
      <c r="F25" s="22">
        <v>0.6</v>
      </c>
      <c r="G25" s="22">
        <v>0.56000000000000005</v>
      </c>
      <c r="H25" s="22">
        <v>0.1</v>
      </c>
      <c r="I25" s="18"/>
      <c r="J25" s="18"/>
      <c r="K25" s="18"/>
      <c r="L25" s="18"/>
      <c r="M25" s="18"/>
      <c r="N25" s="18"/>
    </row>
    <row r="26" spans="3:14" x14ac:dyDescent="0.3">
      <c r="C26" s="20"/>
      <c r="D26" s="11" t="s">
        <v>140</v>
      </c>
      <c r="E26" s="22"/>
      <c r="F26" s="22"/>
      <c r="G26" s="22"/>
      <c r="H26" s="22"/>
      <c r="I26" s="18"/>
      <c r="J26" s="18"/>
      <c r="K26" s="18"/>
      <c r="L26" s="18"/>
      <c r="M26" s="18"/>
      <c r="N26" s="18"/>
    </row>
    <row r="27" spans="3:14" x14ac:dyDescent="0.3">
      <c r="C27" s="20" t="s">
        <v>147</v>
      </c>
      <c r="D27" s="11" t="s">
        <v>150</v>
      </c>
      <c r="E27" s="22">
        <v>33.200000000000003</v>
      </c>
      <c r="F27" s="22">
        <v>0.2</v>
      </c>
      <c r="G27" s="22">
        <v>0.19</v>
      </c>
      <c r="H27" s="22">
        <v>0.1</v>
      </c>
      <c r="I27" s="18"/>
      <c r="J27" s="18"/>
      <c r="K27" s="18"/>
      <c r="L27" s="18"/>
      <c r="M27" s="18"/>
      <c r="N27" s="18"/>
    </row>
    <row r="28" spans="3:14" x14ac:dyDescent="0.3">
      <c r="C28" s="20"/>
      <c r="D28" s="11" t="s">
        <v>140</v>
      </c>
      <c r="E28" s="22"/>
      <c r="F28" s="22"/>
      <c r="G28" s="22"/>
      <c r="H28" s="22"/>
      <c r="I28" s="18"/>
      <c r="J28" s="18"/>
      <c r="K28" s="18"/>
      <c r="L28" s="18"/>
      <c r="M28" s="18"/>
      <c r="N28" s="18"/>
    </row>
    <row r="29" spans="3:14" x14ac:dyDescent="0.3">
      <c r="C29" s="20" t="s">
        <v>151</v>
      </c>
      <c r="D29" s="11" t="s">
        <v>152</v>
      </c>
      <c r="E29" s="22">
        <v>20.5</v>
      </c>
      <c r="F29" s="22">
        <v>0.6</v>
      </c>
      <c r="G29" s="22">
        <v>1.4</v>
      </c>
      <c r="H29" s="22">
        <v>1.8</v>
      </c>
      <c r="I29" s="16">
        <v>3.17</v>
      </c>
      <c r="J29" s="16" t="s">
        <v>154</v>
      </c>
      <c r="K29" s="16">
        <v>7.4</v>
      </c>
      <c r="L29" s="18"/>
      <c r="M29" s="18"/>
      <c r="N29" s="18"/>
    </row>
    <row r="30" spans="3:14" ht="15" thickBot="1" x14ac:dyDescent="0.35">
      <c r="C30" s="21"/>
      <c r="D30" s="14" t="s">
        <v>153</v>
      </c>
      <c r="E30" s="23"/>
      <c r="F30" s="23"/>
      <c r="G30" s="23"/>
      <c r="H30" s="23"/>
      <c r="I30" s="17"/>
      <c r="J30" s="17"/>
      <c r="K30" s="17"/>
      <c r="L30" s="19"/>
      <c r="M30" s="19"/>
      <c r="N30" s="19"/>
    </row>
    <row r="31" spans="3:14" ht="15" thickTop="1" x14ac:dyDescent="0.3"/>
  </sheetData>
  <mergeCells count="77">
    <mergeCell ref="N15:N16"/>
    <mergeCell ref="C15:C16"/>
    <mergeCell ref="D15:D16"/>
    <mergeCell ref="F15:F16"/>
    <mergeCell ref="G15:G16"/>
    <mergeCell ref="H15:H16"/>
    <mergeCell ref="I15:I16"/>
    <mergeCell ref="J15:J16"/>
    <mergeCell ref="K15:K16"/>
    <mergeCell ref="L15:L16"/>
    <mergeCell ref="M15:M16"/>
    <mergeCell ref="N17:N18"/>
    <mergeCell ref="C17:C18"/>
    <mergeCell ref="E17:E18"/>
    <mergeCell ref="F17:F18"/>
    <mergeCell ref="G17:G18"/>
    <mergeCell ref="H17:H18"/>
    <mergeCell ref="I17:I18"/>
    <mergeCell ref="J17:J18"/>
    <mergeCell ref="K17:K18"/>
    <mergeCell ref="L17:L18"/>
    <mergeCell ref="M17:M18"/>
    <mergeCell ref="N20:N21"/>
    <mergeCell ref="C20:C21"/>
    <mergeCell ref="E20:E21"/>
    <mergeCell ref="F20:F21"/>
    <mergeCell ref="G20:G21"/>
    <mergeCell ref="H20:H21"/>
    <mergeCell ref="I20:I21"/>
    <mergeCell ref="J20:J21"/>
    <mergeCell ref="K20:K21"/>
    <mergeCell ref="L20:L21"/>
    <mergeCell ref="M20:M21"/>
    <mergeCell ref="N23:N24"/>
    <mergeCell ref="C23:C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5:N26"/>
    <mergeCell ref="C25:C26"/>
    <mergeCell ref="E25:E26"/>
    <mergeCell ref="F25:F26"/>
    <mergeCell ref="G25:G26"/>
    <mergeCell ref="H25:H26"/>
    <mergeCell ref="I25:I26"/>
    <mergeCell ref="J25:J26"/>
    <mergeCell ref="K25:K26"/>
    <mergeCell ref="L25:L26"/>
    <mergeCell ref="M25:M26"/>
    <mergeCell ref="N27:N28"/>
    <mergeCell ref="C27:C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9:N30"/>
    <mergeCell ref="C29:C30"/>
    <mergeCell ref="E29:E30"/>
    <mergeCell ref="F29:F30"/>
    <mergeCell ref="G29:G30"/>
    <mergeCell ref="H29:H30"/>
    <mergeCell ref="I29:I30"/>
    <mergeCell ref="J29:J30"/>
    <mergeCell ref="K29:K30"/>
    <mergeCell ref="L29:L30"/>
    <mergeCell ref="M29:M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FrequencyTable</vt:lpstr>
      <vt:lpstr>TropFishR output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Ataher Ali</cp:lastModifiedBy>
  <dcterms:created xsi:type="dcterms:W3CDTF">2025-07-25T04:31:29Z</dcterms:created>
  <dcterms:modified xsi:type="dcterms:W3CDTF">2026-01-02T23:38:25Z</dcterms:modified>
</cp:coreProperties>
</file>